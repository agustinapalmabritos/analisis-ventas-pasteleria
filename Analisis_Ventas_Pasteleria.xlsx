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GUSTINA\Desktop\"/>
    </mc:Choice>
  </mc:AlternateContent>
  <bookViews>
    <workbookView xWindow="0" yWindow="0" windowWidth="19200" windowHeight="7050" firstSheet="4" activeTab="8"/>
  </bookViews>
  <sheets>
    <sheet name="Mayor Ingreso" sheetId="3" r:id="rId1"/>
    <sheet name="Ventas por mes" sheetId="4" r:id="rId2"/>
    <sheet name="Ventas por categoría" sheetId="5" r:id="rId3"/>
    <sheet name="Ventas por canal" sheetId="6" r:id="rId4"/>
    <sheet name="Forma de pago" sheetId="7" r:id="rId5"/>
    <sheet name="Cantidad vendida por producto" sheetId="9" r:id="rId6"/>
    <sheet name="DATASET" sheetId="1" r:id="rId7"/>
    <sheet name="RUBICAS" sheetId="2" r:id="rId8"/>
    <sheet name="Conclusiones" sheetId="10" r:id="rId9"/>
  </sheets>
  <calcPr calcId="162913"/>
  <pivotCaches>
    <pivotCache cacheId="11" r:id="rId10"/>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alcChain>
</file>

<file path=xl/sharedStrings.xml><?xml version="1.0" encoding="utf-8"?>
<sst xmlns="http://schemas.openxmlformats.org/spreadsheetml/2006/main" count="360" uniqueCount="66">
  <si>
    <t>Fecha</t>
  </si>
  <si>
    <t>Día</t>
  </si>
  <si>
    <t>Producto</t>
  </si>
  <si>
    <t>Categoría</t>
  </si>
  <si>
    <t>Cantidad</t>
  </si>
  <si>
    <t>Precio</t>
  </si>
  <si>
    <t>Total</t>
  </si>
  <si>
    <t>Pago</t>
  </si>
  <si>
    <t>Canal</t>
  </si>
  <si>
    <t>Miércoles</t>
  </si>
  <si>
    <t>Cupcakes</t>
  </si>
  <si>
    <t>Individual</t>
  </si>
  <si>
    <t>Efectivo</t>
  </si>
  <si>
    <t>Local</t>
  </si>
  <si>
    <t>Cookies</t>
  </si>
  <si>
    <t>Galletas</t>
  </si>
  <si>
    <t>Transferencia</t>
  </si>
  <si>
    <t>Jueves</t>
  </si>
  <si>
    <t>Torta Chocolate</t>
  </si>
  <si>
    <t>Tortas</t>
  </si>
  <si>
    <t>Pedido</t>
  </si>
  <si>
    <t>Brownies</t>
  </si>
  <si>
    <t>Viernes</t>
  </si>
  <si>
    <t>Lemon Pie</t>
  </si>
  <si>
    <t>Tartas</t>
  </si>
  <si>
    <t>Sábado</t>
  </si>
  <si>
    <t>Torta Vainilla</t>
  </si>
  <si>
    <t>Domingo</t>
  </si>
  <si>
    <t>Lunes</t>
  </si>
  <si>
    <t>Martes</t>
  </si>
  <si>
    <t>Tarta Frutal</t>
  </si>
  <si>
    <t>Problema del negocio</t>
  </si>
  <si>
    <t>La pastelería desea comprender mejor sus ventas para identificar qué productos generan mayores ingresos, cuáles son los más vendidos y qué días hay mayor demanda.</t>
  </si>
  <si>
    <t>Objetivo del análisis</t>
  </si>
  <si>
    <t>Identificar patrones en las ventas para mejorar la toma de decisiones del negocio.</t>
  </si>
  <si>
    <t>Preguntas de análisis</t>
  </si>
  <si>
    <t>¿Qué productos se venden más?</t>
  </si>
  <si>
    <t>¿Qué categoría genera más ingresos?</t>
  </si>
  <si>
    <t>¿Qué días hay más ventas?</t>
  </si>
  <si>
    <t>¿Qué canal vende más?</t>
  </si>
  <si>
    <t>¿Qué forma de pago se usa más?</t>
  </si>
  <si>
    <t>MES</t>
  </si>
  <si>
    <t>Etiquetas de fila</t>
  </si>
  <si>
    <t>Total general</t>
  </si>
  <si>
    <t>Suma de Cantidad</t>
  </si>
  <si>
    <t>Suma de Total</t>
  </si>
  <si>
    <t>El análisis muestra que los cupcakes generan el mayor ingreso total, seguidos por cookies. Esto indica que estos productos son los más rentables para la pastelería. Por otro lado, la tarta frutal presenta el menor nivel de ventas, por lo que se recomienda evaluar su continuidad o mejorar su promoción.</t>
  </si>
  <si>
    <t>Productos con mayor ingreso</t>
  </si>
  <si>
    <t>Interpretación</t>
  </si>
  <si>
    <t>marzo</t>
  </si>
  <si>
    <t>abril</t>
  </si>
  <si>
    <t>mayo</t>
  </si>
  <si>
    <t>El análisis mensual muestra que abril fue el mes con mayor ingreso, seguido por mayo. Marzo presenta el menor nivel de ventas. Esto indica un crecimiento del negocio entre marzo y abril, con una leve disminución en mayo. Esta tendencia sugiere que la pastelería experimentó un aumento en la demanda durante abril.</t>
  </si>
  <si>
    <t>Ventas por mes</t>
  </si>
  <si>
    <t>Ventas por categoría</t>
  </si>
  <si>
    <t>El análisis por categoría muestra que los productos individuales generan el mayor ingreso total, seguidos por galletas y tortas. Esto indica que los productos individuales tienen mayor demanda debido a su precio accesible. Por otro lado, la categoría tartas presenta el menor nivel de ventas, lo que sugiere evaluar su producción o implementar estrategias de promoción.</t>
  </si>
  <si>
    <t>Ventas por canal</t>
  </si>
  <si>
    <t>El análisis por canal de venta muestra que la mayoría de los ingresos provienen de ventas en el local. Los pedidos representan una menor proporción del total, lo que indica una oportunidad de crecimiento en este canal. Se recomienda fortalecer la venta por pedidos mediante redes sociales o promociones.</t>
  </si>
  <si>
    <t>El análisis de forma de pago muestra que el efectivo es el medio más utilizado por los clientes, seguido por transferencias. Esto indica que los clientes prefieren pagos inmediatos. Sin embargo, la transferencia también representa una parte importante de las ventas, por lo que se recomienda continuar ofreciendo ambas opciones.</t>
  </si>
  <si>
    <t>Forma de pago</t>
  </si>
  <si>
    <t>Análisis por producto</t>
  </si>
  <si>
    <t>El análisis de cantidad vendida muestra que los cupcakes son el producto más vendido, seguidos por cookies. Esto confirma que estos productos tienen mayor demanda entre los clientes. Por otro lado, la tarta frutal presenta el menor nivel de ventas, lo que sugiere revisar su producción o implementar estrategias de promoción.</t>
  </si>
  <si>
    <t>A partir del análisis de datos de ventas de la pastelería, se identificó que los cupcakes son el producto más rentable y el más vendido, seguidos por cookies. Además, los productos individuales representan la categoría con mayor ingreso, lo que indica una alta demanda de productos de menor precio.
El análisis mensual muestra un crecimiento en las ventas durante abril, con una leve disminución en mayo. Asimismo, la mayoría de las ventas se realizan en el local, lo que indica una oportunidad de crecimiento en el canal de pedidos.
Por otro lado, el efectivo es la forma de pago más utilizada, aunque las transferencias también tienen una participación significativa.</t>
  </si>
  <si>
    <t>CONCLUSIONES DEL ANÁLISIS</t>
  </si>
  <si>
    <t>RECOMENDACIONES</t>
  </si>
  <si>
    <t>Aumentar producción de cupcakes y cookies
Promover ventas por pedidos online
Incentivar pagos por transferencia
Evaluar promociones en meses con menor venta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</si>
</sst>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8" formatCode="_-[$$-409]* #,##0.00_ ;_-[$$-409]* \-#,##0.00\ ;_-[$$-409]* &quot;-&quot;??_ ;_-@_ "/>
  </numFmts>
  <fonts count="3" x14ac:knownFonts="1">
    <font>
      <sz val="11"/>
      <color theme="1"/>
      <name val="Calibri"/>
      <family val="2"/>
      <scheme val="minor"/>
    </font>
    <font>
      <b/>
      <sz val="11"/>
      <color theme="1"/>
      <name val="Calibri"/>
      <family val="2"/>
      <scheme val="minor"/>
    </font>
    <font>
      <b/>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0" fontId="1" fillId="0" borderId="0" xfId="0" applyFont="1"/>
    <xf numFmtId="0" fontId="0" fillId="0" borderId="0" xfId="0" applyAlignment="1">
      <alignment horizontal="left" vertical="center" indent="1"/>
    </xf>
    <xf numFmtId="0" fontId="0" fillId="0" borderId="0" xfId="0" applyAlignment="1">
      <alignment vertical="top" wrapText="1"/>
    </xf>
    <xf numFmtId="0" fontId="0" fillId="0" borderId="0" xfId="0" applyAlignment="1">
      <alignment horizontal="center" vertical="center"/>
    </xf>
    <xf numFmtId="168" fontId="1" fillId="0" borderId="0" xfId="0" applyNumberFormat="1" applyFont="1" applyAlignment="1">
      <alignment horizontal="center" vertical="center" wrapText="1"/>
    </xf>
    <xf numFmtId="168" fontId="0" fillId="0" borderId="0" xfId="0" applyNumberFormat="1" applyAlignment="1">
      <alignment vertical="center" wrapText="1"/>
    </xf>
    <xf numFmtId="168" fontId="0" fillId="0" borderId="0" xfId="0" applyNumberFormat="1"/>
    <xf numFmtId="0" fontId="2" fillId="0" borderId="0" xfId="0"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wrapText="1" indent="1"/>
    </xf>
    <xf numFmtId="0" fontId="0" fillId="0" borderId="0" xfId="0" applyAlignment="1">
      <alignment horizontal="left" vertical="top" indent="1"/>
    </xf>
  </cellXfs>
  <cellStyles count="1">
    <cellStyle name="Normal" xfId="0" builtinId="0"/>
  </cellStyles>
  <dxfs count="21">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8" formatCode="_-[$$-409]* #,##0.00_ ;_-[$$-409]* \-#,##0.00\ ;_-[$$-409]* &quot;-&quot;??_ ;_-@_ "/>
      <alignment horizontal="general" vertical="center" textRotation="0" wrapText="1" indent="0" justifyLastLine="0" shrinkToFit="0" readingOrder="0"/>
    </dxf>
    <dxf>
      <numFmt numFmtId="168" formatCode="_-[$$-409]* #,##0.00_ ;_-[$$-409]* \-#,##0.00\ ;_-[$$-409]* &quot;-&quot;??_ ;_-@_ "/>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GUSTINA" refreshedDate="46125.458848726848" createdVersion="6" refreshedVersion="6" minRefreshableVersion="3" recordCount="55">
  <cacheSource type="worksheet">
    <worksheetSource name="Tabla1"/>
  </cacheSource>
  <cacheFields count="10">
    <cacheField name="Fecha" numFmtId="14">
      <sharedItems containsSemiMixedTypes="0" containsNonDate="0" containsDate="1" containsString="0" minDate="2026-03-11T00:00:00" maxDate="2026-05-19T00:00:00"/>
    </cacheField>
    <cacheField name="Día" numFmtId="0">
      <sharedItems/>
    </cacheField>
    <cacheField name="Producto" numFmtId="0">
      <sharedItems count="7">
        <s v="Cupcakes"/>
        <s v="Cookies"/>
        <s v="Torta Chocolate"/>
        <s v="Brownies"/>
        <s v="Lemon Pie"/>
        <s v="Torta Vainilla"/>
        <s v="Tarta Frutal"/>
      </sharedItems>
    </cacheField>
    <cacheField name="Categoría" numFmtId="0">
      <sharedItems count="4">
        <s v="Individual"/>
        <s v="Galletas"/>
        <s v="Tortas"/>
        <s v="Tartas"/>
      </sharedItems>
    </cacheField>
    <cacheField name="Cantidad" numFmtId="0">
      <sharedItems containsSemiMixedTypes="0" containsString="0" containsNumber="1" containsInteger="1" minValue="2" maxValue="18"/>
    </cacheField>
    <cacheField name="Precio" numFmtId="168">
      <sharedItems containsSemiMixedTypes="0" containsString="0" containsNumber="1" containsInteger="1" minValue="1500" maxValue="12000"/>
    </cacheField>
    <cacheField name="Total" numFmtId="168">
      <sharedItems containsSemiMixedTypes="0" containsString="0" containsNumber="1" containsInteger="1" minValue="9000" maxValue="36000"/>
    </cacheField>
    <cacheField name="Pago" numFmtId="0">
      <sharedItems count="2">
        <s v="Efectivo"/>
        <s v="Transferencia"/>
      </sharedItems>
    </cacheField>
    <cacheField name="Canal" numFmtId="0">
      <sharedItems count="2">
        <s v="Local"/>
        <s v="Pedido"/>
      </sharedItems>
    </cacheField>
    <cacheField name="MES" numFmtId="0">
      <sharedItems count="3">
        <s v="marzo"/>
        <s v="abril"/>
        <s v="may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5">
  <r>
    <d v="2026-03-11T00:00:00"/>
    <s v="Miércoles"/>
    <x v="0"/>
    <x v="0"/>
    <n v="9"/>
    <n v="2000"/>
    <n v="18000"/>
    <x v="0"/>
    <x v="0"/>
    <x v="0"/>
  </r>
  <r>
    <d v="2026-03-11T00:00:00"/>
    <s v="Miércoles"/>
    <x v="1"/>
    <x v="1"/>
    <n v="12"/>
    <n v="1500"/>
    <n v="18000"/>
    <x v="1"/>
    <x v="0"/>
    <x v="0"/>
  </r>
  <r>
    <d v="2026-03-12T00:00:00"/>
    <s v="Jueves"/>
    <x v="2"/>
    <x v="2"/>
    <n v="2"/>
    <n v="12000"/>
    <n v="24000"/>
    <x v="1"/>
    <x v="1"/>
    <x v="0"/>
  </r>
  <r>
    <d v="2026-03-12T00:00:00"/>
    <s v="Jueves"/>
    <x v="3"/>
    <x v="0"/>
    <n v="7"/>
    <n v="1800"/>
    <n v="12600"/>
    <x v="0"/>
    <x v="0"/>
    <x v="0"/>
  </r>
  <r>
    <d v="2026-03-13T00:00:00"/>
    <s v="Viernes"/>
    <x v="0"/>
    <x v="0"/>
    <n v="12"/>
    <n v="2000"/>
    <n v="24000"/>
    <x v="0"/>
    <x v="0"/>
    <x v="0"/>
  </r>
  <r>
    <d v="2026-03-13T00:00:00"/>
    <s v="Viernes"/>
    <x v="4"/>
    <x v="3"/>
    <n v="2"/>
    <n v="9500"/>
    <n v="19000"/>
    <x v="1"/>
    <x v="1"/>
    <x v="0"/>
  </r>
  <r>
    <d v="2026-03-14T00:00:00"/>
    <s v="Sábado"/>
    <x v="5"/>
    <x v="2"/>
    <n v="3"/>
    <n v="11000"/>
    <n v="33000"/>
    <x v="1"/>
    <x v="1"/>
    <x v="0"/>
  </r>
  <r>
    <d v="2026-03-14T00:00:00"/>
    <s v="Sábado"/>
    <x v="1"/>
    <x v="1"/>
    <n v="15"/>
    <n v="1500"/>
    <n v="22500"/>
    <x v="0"/>
    <x v="0"/>
    <x v="0"/>
  </r>
  <r>
    <d v="2026-03-15T00:00:00"/>
    <s v="Domingo"/>
    <x v="0"/>
    <x v="0"/>
    <n v="14"/>
    <n v="2000"/>
    <n v="28000"/>
    <x v="0"/>
    <x v="0"/>
    <x v="0"/>
  </r>
  <r>
    <d v="2026-03-15T00:00:00"/>
    <s v="Domingo"/>
    <x v="3"/>
    <x v="0"/>
    <n v="10"/>
    <n v="1800"/>
    <n v="18000"/>
    <x v="1"/>
    <x v="0"/>
    <x v="0"/>
  </r>
  <r>
    <d v="2026-04-01T00:00:00"/>
    <s v="Miércoles"/>
    <x v="0"/>
    <x v="0"/>
    <n v="8"/>
    <n v="2000"/>
    <n v="16000"/>
    <x v="0"/>
    <x v="0"/>
    <x v="1"/>
  </r>
  <r>
    <d v="2026-04-01T00:00:00"/>
    <s v="Miércoles"/>
    <x v="1"/>
    <x v="1"/>
    <n v="11"/>
    <n v="1500"/>
    <n v="16500"/>
    <x v="1"/>
    <x v="0"/>
    <x v="1"/>
  </r>
  <r>
    <d v="2026-04-02T00:00:00"/>
    <s v="Jueves"/>
    <x v="2"/>
    <x v="2"/>
    <n v="2"/>
    <n v="12000"/>
    <n v="24000"/>
    <x v="1"/>
    <x v="1"/>
    <x v="1"/>
  </r>
  <r>
    <d v="2026-04-02T00:00:00"/>
    <s v="Jueves"/>
    <x v="3"/>
    <x v="0"/>
    <n v="6"/>
    <n v="1800"/>
    <n v="10800"/>
    <x v="0"/>
    <x v="0"/>
    <x v="1"/>
  </r>
  <r>
    <d v="2026-04-03T00:00:00"/>
    <s v="Viernes"/>
    <x v="0"/>
    <x v="0"/>
    <n v="12"/>
    <n v="2000"/>
    <n v="24000"/>
    <x v="0"/>
    <x v="0"/>
    <x v="1"/>
  </r>
  <r>
    <d v="2026-04-03T00:00:00"/>
    <s v="Viernes"/>
    <x v="4"/>
    <x v="3"/>
    <n v="2"/>
    <n v="9500"/>
    <n v="19000"/>
    <x v="1"/>
    <x v="1"/>
    <x v="1"/>
  </r>
  <r>
    <d v="2026-04-04T00:00:00"/>
    <s v="Sábado"/>
    <x v="5"/>
    <x v="2"/>
    <n v="3"/>
    <n v="11000"/>
    <n v="33000"/>
    <x v="1"/>
    <x v="1"/>
    <x v="1"/>
  </r>
  <r>
    <d v="2026-04-04T00:00:00"/>
    <s v="Sábado"/>
    <x v="1"/>
    <x v="1"/>
    <n v="16"/>
    <n v="1500"/>
    <n v="24000"/>
    <x v="0"/>
    <x v="0"/>
    <x v="1"/>
  </r>
  <r>
    <d v="2026-04-05T00:00:00"/>
    <s v="Domingo"/>
    <x v="0"/>
    <x v="0"/>
    <n v="14"/>
    <n v="2000"/>
    <n v="28000"/>
    <x v="0"/>
    <x v="0"/>
    <x v="1"/>
  </r>
  <r>
    <d v="2026-04-05T00:00:00"/>
    <s v="Domingo"/>
    <x v="3"/>
    <x v="0"/>
    <n v="9"/>
    <n v="1800"/>
    <n v="16200"/>
    <x v="1"/>
    <x v="0"/>
    <x v="1"/>
  </r>
  <r>
    <d v="2026-04-06T00:00:00"/>
    <s v="Lunes"/>
    <x v="1"/>
    <x v="1"/>
    <n v="8"/>
    <n v="1500"/>
    <n v="12000"/>
    <x v="0"/>
    <x v="0"/>
    <x v="1"/>
  </r>
  <r>
    <d v="2026-04-07T00:00:00"/>
    <s v="Martes"/>
    <x v="6"/>
    <x v="3"/>
    <n v="2"/>
    <n v="10000"/>
    <n v="20000"/>
    <x v="1"/>
    <x v="1"/>
    <x v="1"/>
  </r>
  <r>
    <d v="2026-04-08T00:00:00"/>
    <s v="Miércoles"/>
    <x v="0"/>
    <x v="0"/>
    <n v="10"/>
    <n v="2000"/>
    <n v="20000"/>
    <x v="0"/>
    <x v="0"/>
    <x v="1"/>
  </r>
  <r>
    <d v="2026-04-09T00:00:00"/>
    <s v="Jueves"/>
    <x v="3"/>
    <x v="0"/>
    <n v="7"/>
    <n v="1800"/>
    <n v="12600"/>
    <x v="0"/>
    <x v="0"/>
    <x v="1"/>
  </r>
  <r>
    <d v="2026-04-10T00:00:00"/>
    <s v="Viernes"/>
    <x v="2"/>
    <x v="2"/>
    <n v="2"/>
    <n v="12000"/>
    <n v="24000"/>
    <x v="1"/>
    <x v="1"/>
    <x v="1"/>
  </r>
  <r>
    <d v="2026-04-11T00:00:00"/>
    <s v="Sábado"/>
    <x v="1"/>
    <x v="1"/>
    <n v="18"/>
    <n v="1500"/>
    <n v="27000"/>
    <x v="0"/>
    <x v="0"/>
    <x v="1"/>
  </r>
  <r>
    <d v="2026-04-12T00:00:00"/>
    <s v="Domingo"/>
    <x v="0"/>
    <x v="0"/>
    <n v="15"/>
    <n v="2000"/>
    <n v="30000"/>
    <x v="0"/>
    <x v="0"/>
    <x v="1"/>
  </r>
  <r>
    <d v="2026-04-13T00:00:00"/>
    <s v="Lunes"/>
    <x v="3"/>
    <x v="0"/>
    <n v="6"/>
    <n v="1800"/>
    <n v="10800"/>
    <x v="1"/>
    <x v="0"/>
    <x v="1"/>
  </r>
  <r>
    <d v="2026-04-14T00:00:00"/>
    <s v="Martes"/>
    <x v="4"/>
    <x v="3"/>
    <n v="2"/>
    <n v="9500"/>
    <n v="19000"/>
    <x v="1"/>
    <x v="1"/>
    <x v="1"/>
  </r>
  <r>
    <d v="2026-04-15T00:00:00"/>
    <s v="Miércoles"/>
    <x v="1"/>
    <x v="1"/>
    <n v="12"/>
    <n v="1500"/>
    <n v="18000"/>
    <x v="0"/>
    <x v="0"/>
    <x v="1"/>
  </r>
  <r>
    <d v="2026-04-16T00:00:00"/>
    <s v="Jueves"/>
    <x v="0"/>
    <x v="0"/>
    <n v="11"/>
    <n v="2000"/>
    <n v="22000"/>
    <x v="0"/>
    <x v="0"/>
    <x v="1"/>
  </r>
  <r>
    <d v="2026-04-17T00:00:00"/>
    <s v="Viernes"/>
    <x v="5"/>
    <x v="2"/>
    <n v="2"/>
    <n v="11000"/>
    <n v="22000"/>
    <x v="1"/>
    <x v="1"/>
    <x v="1"/>
  </r>
  <r>
    <d v="2026-04-18T00:00:00"/>
    <s v="Sábado"/>
    <x v="1"/>
    <x v="1"/>
    <n v="17"/>
    <n v="1500"/>
    <n v="25500"/>
    <x v="0"/>
    <x v="0"/>
    <x v="1"/>
  </r>
  <r>
    <d v="2026-04-19T00:00:00"/>
    <s v="Domingo"/>
    <x v="0"/>
    <x v="0"/>
    <n v="13"/>
    <n v="2000"/>
    <n v="26000"/>
    <x v="0"/>
    <x v="0"/>
    <x v="1"/>
  </r>
  <r>
    <d v="2026-04-20T00:00:00"/>
    <s v="Lunes"/>
    <x v="3"/>
    <x v="0"/>
    <n v="5"/>
    <n v="1800"/>
    <n v="9000"/>
    <x v="1"/>
    <x v="0"/>
    <x v="1"/>
  </r>
  <r>
    <d v="2026-05-01T00:00:00"/>
    <s v="Viernes"/>
    <x v="0"/>
    <x v="0"/>
    <n v="12"/>
    <n v="2000"/>
    <n v="24000"/>
    <x v="0"/>
    <x v="0"/>
    <x v="2"/>
  </r>
  <r>
    <d v="2026-05-01T00:00:00"/>
    <s v="Viernes"/>
    <x v="1"/>
    <x v="1"/>
    <n v="14"/>
    <n v="1500"/>
    <n v="21000"/>
    <x v="1"/>
    <x v="0"/>
    <x v="2"/>
  </r>
  <r>
    <d v="2026-05-02T00:00:00"/>
    <s v="Sábado"/>
    <x v="2"/>
    <x v="2"/>
    <n v="3"/>
    <n v="12000"/>
    <n v="36000"/>
    <x v="1"/>
    <x v="1"/>
    <x v="2"/>
  </r>
  <r>
    <d v="2026-05-02T00:00:00"/>
    <s v="Sábado"/>
    <x v="3"/>
    <x v="0"/>
    <n v="8"/>
    <n v="1800"/>
    <n v="14400"/>
    <x v="0"/>
    <x v="0"/>
    <x v="2"/>
  </r>
  <r>
    <d v="2026-05-03T00:00:00"/>
    <s v="Domingo"/>
    <x v="0"/>
    <x v="0"/>
    <n v="15"/>
    <n v="2000"/>
    <n v="30000"/>
    <x v="0"/>
    <x v="0"/>
    <x v="2"/>
  </r>
  <r>
    <d v="2026-05-04T00:00:00"/>
    <s v="Lunes"/>
    <x v="1"/>
    <x v="1"/>
    <n v="9"/>
    <n v="1500"/>
    <n v="13500"/>
    <x v="0"/>
    <x v="0"/>
    <x v="2"/>
  </r>
  <r>
    <d v="2026-05-05T00:00:00"/>
    <s v="Martes"/>
    <x v="4"/>
    <x v="3"/>
    <n v="2"/>
    <n v="9500"/>
    <n v="19000"/>
    <x v="1"/>
    <x v="1"/>
    <x v="2"/>
  </r>
  <r>
    <d v="2026-05-06T00:00:00"/>
    <s v="Miércoles"/>
    <x v="0"/>
    <x v="0"/>
    <n v="11"/>
    <n v="2000"/>
    <n v="22000"/>
    <x v="0"/>
    <x v="0"/>
    <x v="2"/>
  </r>
  <r>
    <d v="2026-05-07T00:00:00"/>
    <s v="Jueves"/>
    <x v="3"/>
    <x v="0"/>
    <n v="6"/>
    <n v="1800"/>
    <n v="10800"/>
    <x v="1"/>
    <x v="0"/>
    <x v="2"/>
  </r>
  <r>
    <d v="2026-05-08T00:00:00"/>
    <s v="Viernes"/>
    <x v="5"/>
    <x v="2"/>
    <n v="2"/>
    <n v="11000"/>
    <n v="22000"/>
    <x v="1"/>
    <x v="1"/>
    <x v="2"/>
  </r>
  <r>
    <d v="2026-05-09T00:00:00"/>
    <s v="Sábado"/>
    <x v="1"/>
    <x v="1"/>
    <n v="18"/>
    <n v="1500"/>
    <n v="27000"/>
    <x v="0"/>
    <x v="0"/>
    <x v="2"/>
  </r>
  <r>
    <d v="2026-05-10T00:00:00"/>
    <s v="Domingo"/>
    <x v="0"/>
    <x v="0"/>
    <n v="16"/>
    <n v="2000"/>
    <n v="32000"/>
    <x v="0"/>
    <x v="0"/>
    <x v="2"/>
  </r>
  <r>
    <d v="2026-05-11T00:00:00"/>
    <s v="Lunes"/>
    <x v="3"/>
    <x v="0"/>
    <n v="5"/>
    <n v="1800"/>
    <n v="9000"/>
    <x v="1"/>
    <x v="0"/>
    <x v="2"/>
  </r>
  <r>
    <d v="2026-05-12T00:00:00"/>
    <s v="Martes"/>
    <x v="4"/>
    <x v="3"/>
    <n v="2"/>
    <n v="9500"/>
    <n v="19000"/>
    <x v="1"/>
    <x v="1"/>
    <x v="2"/>
  </r>
  <r>
    <d v="2026-05-13T00:00:00"/>
    <s v="Miércoles"/>
    <x v="1"/>
    <x v="1"/>
    <n v="13"/>
    <n v="1500"/>
    <n v="19500"/>
    <x v="0"/>
    <x v="0"/>
    <x v="2"/>
  </r>
  <r>
    <d v="2026-05-14T00:00:00"/>
    <s v="Jueves"/>
    <x v="0"/>
    <x v="0"/>
    <n v="12"/>
    <n v="2000"/>
    <n v="24000"/>
    <x v="0"/>
    <x v="0"/>
    <x v="2"/>
  </r>
  <r>
    <d v="2026-05-15T00:00:00"/>
    <s v="Viernes"/>
    <x v="2"/>
    <x v="2"/>
    <n v="2"/>
    <n v="12000"/>
    <n v="24000"/>
    <x v="1"/>
    <x v="1"/>
    <x v="2"/>
  </r>
  <r>
    <d v="2026-05-16T00:00:00"/>
    <s v="Sábado"/>
    <x v="1"/>
    <x v="1"/>
    <n v="17"/>
    <n v="1500"/>
    <n v="25500"/>
    <x v="0"/>
    <x v="0"/>
    <x v="2"/>
  </r>
  <r>
    <d v="2026-05-17T00:00:00"/>
    <s v="Domingo"/>
    <x v="0"/>
    <x v="0"/>
    <n v="14"/>
    <n v="2000"/>
    <n v="28000"/>
    <x v="0"/>
    <x v="0"/>
    <x v="2"/>
  </r>
  <r>
    <d v="2026-05-18T00:00:00"/>
    <s v="Lunes"/>
    <x v="3"/>
    <x v="0"/>
    <n v="6"/>
    <n v="1800"/>
    <n v="10800"/>
    <x v="1"/>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1" cacheId="1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11" firstHeaderRow="1" firstDataRow="1" firstDataCol="1"/>
  <pivotFields count="10">
    <pivotField numFmtId="14" showAll="0"/>
    <pivotField showAll="0"/>
    <pivotField axis="axisRow" showAll="0">
      <items count="8">
        <item x="3"/>
        <item x="1"/>
        <item x="0"/>
        <item x="4"/>
        <item x="6"/>
        <item x="2"/>
        <item x="5"/>
        <item t="default"/>
      </items>
    </pivotField>
    <pivotField showAll="0"/>
    <pivotField showAll="0"/>
    <pivotField numFmtId="168" showAll="0"/>
    <pivotField dataField="1" numFmtId="168" showAll="0"/>
    <pivotField showAll="0"/>
    <pivotField showAll="0"/>
    <pivotField showAll="0"/>
  </pivotFields>
  <rowFields count="1">
    <field x="2"/>
  </rowFields>
  <rowItems count="8">
    <i>
      <x/>
    </i>
    <i>
      <x v="1"/>
    </i>
    <i>
      <x v="2"/>
    </i>
    <i>
      <x v="3"/>
    </i>
    <i>
      <x v="4"/>
    </i>
    <i>
      <x v="5"/>
    </i>
    <i>
      <x v="6"/>
    </i>
    <i t="grand">
      <x/>
    </i>
  </rowItems>
  <colItems count="1">
    <i/>
  </colItems>
  <dataFields count="1">
    <dataField name="Suma de Total" fld="6" baseField="0" baseItem="0" numFmtId="168"/>
  </dataFields>
  <formats count="3">
    <format dxfId="8">
      <pivotArea outline="0" collapsedLevelsAreSubtotals="1" fieldPosition="0"/>
    </format>
    <format dxfId="7">
      <pivotArea dataOnly="0" labelOnly="1" outline="0" axis="axisValues"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laDinámica2" cacheId="1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7" firstHeaderRow="1" firstDataRow="1" firstDataCol="1"/>
  <pivotFields count="10">
    <pivotField numFmtId="14" showAll="0"/>
    <pivotField showAll="0"/>
    <pivotField showAll="0"/>
    <pivotField showAll="0"/>
    <pivotField showAll="0"/>
    <pivotField numFmtId="168" showAll="0"/>
    <pivotField dataField="1" numFmtId="168" showAll="0"/>
    <pivotField showAll="0"/>
    <pivotField showAll="0"/>
    <pivotField axis="axisRow" showAll="0">
      <items count="4">
        <item x="0"/>
        <item x="1"/>
        <item x="2"/>
        <item t="default"/>
      </items>
    </pivotField>
  </pivotFields>
  <rowFields count="1">
    <field x="9"/>
  </rowFields>
  <rowItems count="4">
    <i>
      <x/>
    </i>
    <i>
      <x v="1"/>
    </i>
    <i>
      <x v="2"/>
    </i>
    <i t="grand">
      <x/>
    </i>
  </rowItems>
  <colItems count="1">
    <i/>
  </colItems>
  <dataFields count="1">
    <dataField name="Suma de Total" fld="6" baseField="0" baseItem="0" numFmtId="168"/>
  </dataFields>
  <formats count="3">
    <format dxfId="5">
      <pivotArea outline="0" collapsedLevelsAreSubtotals="1" fieldPosition="0"/>
    </format>
    <format dxfId="4">
      <pivotArea dataOnly="0" labelOnly="1" outline="0" axis="axisValues"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ablaDinámica3" cacheId="1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8" firstHeaderRow="1" firstDataRow="1" firstDataCol="1"/>
  <pivotFields count="10">
    <pivotField numFmtId="14" showAll="0"/>
    <pivotField showAll="0"/>
    <pivotField showAll="0"/>
    <pivotField axis="axisRow" showAll="0">
      <items count="5">
        <item x="1"/>
        <item x="0"/>
        <item x="3"/>
        <item x="2"/>
        <item t="default"/>
      </items>
    </pivotField>
    <pivotField showAll="0"/>
    <pivotField numFmtId="168" showAll="0"/>
    <pivotField dataField="1" numFmtId="168" showAll="0"/>
    <pivotField showAll="0"/>
    <pivotField showAll="0"/>
    <pivotField showAll="0"/>
  </pivotFields>
  <rowFields count="1">
    <field x="3"/>
  </rowFields>
  <rowItems count="5">
    <i>
      <x/>
    </i>
    <i>
      <x v="1"/>
    </i>
    <i>
      <x v="2"/>
    </i>
    <i>
      <x v="3"/>
    </i>
    <i t="grand">
      <x/>
    </i>
  </rowItems>
  <colItems count="1">
    <i/>
  </colItems>
  <dataFields count="1">
    <dataField name="Suma de Total" fld="6" baseField="0" baseItem="0" numFmtId="168"/>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ablaDinámica4" cacheId="1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6" firstHeaderRow="1" firstDataRow="1" firstDataCol="1"/>
  <pivotFields count="10">
    <pivotField numFmtId="14" showAll="0"/>
    <pivotField showAll="0"/>
    <pivotField showAll="0"/>
    <pivotField showAll="0"/>
    <pivotField showAll="0"/>
    <pivotField numFmtId="168" showAll="0"/>
    <pivotField dataField="1" numFmtId="168" showAll="0"/>
    <pivotField showAll="0"/>
    <pivotField axis="axisRow" showAll="0">
      <items count="3">
        <item x="0"/>
        <item x="1"/>
        <item t="default"/>
      </items>
    </pivotField>
    <pivotField showAll="0"/>
  </pivotFields>
  <rowFields count="1">
    <field x="8"/>
  </rowFields>
  <rowItems count="3">
    <i>
      <x/>
    </i>
    <i>
      <x v="1"/>
    </i>
    <i t="grand">
      <x/>
    </i>
  </rowItems>
  <colItems count="1">
    <i/>
  </colItems>
  <dataFields count="1">
    <dataField name="Suma de Total" fld="6" baseField="0" baseItem="0" numFmtId="168"/>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ablaDinámica5" cacheId="1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6" firstHeaderRow="1" firstDataRow="1" firstDataCol="1"/>
  <pivotFields count="10">
    <pivotField numFmtId="14" showAll="0"/>
    <pivotField showAll="0"/>
    <pivotField showAll="0"/>
    <pivotField showAll="0"/>
    <pivotField showAll="0"/>
    <pivotField numFmtId="168" showAll="0"/>
    <pivotField dataField="1" numFmtId="168" showAll="0"/>
    <pivotField axis="axisRow" showAll="0">
      <items count="3">
        <item x="0"/>
        <item x="1"/>
        <item t="default"/>
      </items>
    </pivotField>
    <pivotField showAll="0"/>
    <pivotField showAll="0"/>
  </pivotFields>
  <rowFields count="1">
    <field x="7"/>
  </rowFields>
  <rowItems count="3">
    <i>
      <x/>
    </i>
    <i>
      <x v="1"/>
    </i>
    <i t="grand">
      <x/>
    </i>
  </rowItems>
  <colItems count="1">
    <i/>
  </colItems>
  <dataFields count="1">
    <dataField name="Suma de Total" fld="6" baseField="0" baseItem="0" numFmtId="168"/>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ablaDinámica6" cacheId="1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11" firstHeaderRow="1" firstDataRow="1" firstDataCol="1"/>
  <pivotFields count="10">
    <pivotField numFmtId="14" showAll="0"/>
    <pivotField showAll="0"/>
    <pivotField axis="axisRow" showAll="0">
      <items count="8">
        <item x="3"/>
        <item x="1"/>
        <item x="0"/>
        <item x="4"/>
        <item x="6"/>
        <item x="2"/>
        <item x="5"/>
        <item t="default"/>
      </items>
    </pivotField>
    <pivotField showAll="0"/>
    <pivotField dataField="1" showAll="0"/>
    <pivotField numFmtId="168" showAll="0"/>
    <pivotField numFmtId="168" showAll="0"/>
    <pivotField showAll="0"/>
    <pivotField showAll="0"/>
    <pivotField showAll="0"/>
  </pivotFields>
  <rowFields count="1">
    <field x="2"/>
  </rowFields>
  <rowItems count="8">
    <i>
      <x/>
    </i>
    <i>
      <x v="1"/>
    </i>
    <i>
      <x v="2"/>
    </i>
    <i>
      <x v="3"/>
    </i>
    <i>
      <x v="4"/>
    </i>
    <i>
      <x v="5"/>
    </i>
    <i>
      <x v="6"/>
    </i>
    <i t="grand">
      <x/>
    </i>
  </rowItems>
  <colItems count="1">
    <i/>
  </colItems>
  <dataFields count="1">
    <dataField name="Suma de Cantida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a1" displayName="Tabla1" ref="A1:J56" totalsRowShown="0" headerRowDxfId="20" dataDxfId="19">
  <autoFilter ref="A1:J56"/>
  <tableColumns count="10">
    <tableColumn id="1" name="Fecha" dataDxfId="18"/>
    <tableColumn id="2" name="Día" dataDxfId="17"/>
    <tableColumn id="3" name="Producto" dataDxfId="16"/>
    <tableColumn id="4" name="Categoría" dataDxfId="15"/>
    <tableColumn id="5" name="Cantidad" dataDxfId="14"/>
    <tableColumn id="6" name="Precio" dataDxfId="13"/>
    <tableColumn id="7" name="Total" dataDxfId="12"/>
    <tableColumn id="8" name="Pago" dataDxfId="11"/>
    <tableColumn id="9" name="Canal" dataDxfId="10"/>
    <tableColumn id="10" name="MES" dataDxfId="9">
      <calculatedColumnFormula>TEXT(Tabla1[[#This Row],[Fecha]],"mmmm")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4"/>
  <sheetViews>
    <sheetView workbookViewId="0">
      <selection activeCell="D12" sqref="D12"/>
    </sheetView>
  </sheetViews>
  <sheetFormatPr baseColWidth="10" defaultRowHeight="14.5" x14ac:dyDescent="0.35"/>
  <cols>
    <col min="1" max="1" width="25.08984375" customWidth="1"/>
    <col min="2" max="2" width="19.453125" style="11" customWidth="1"/>
  </cols>
  <sheetData>
    <row r="2" spans="1:2" x14ac:dyDescent="0.35">
      <c r="A2" s="5" t="s">
        <v>47</v>
      </c>
    </row>
    <row r="3" spans="1:2" x14ac:dyDescent="0.35">
      <c r="A3" s="13" t="s">
        <v>42</v>
      </c>
      <c r="B3" s="11" t="s">
        <v>45</v>
      </c>
    </row>
    <row r="4" spans="1:2" x14ac:dyDescent="0.35">
      <c r="A4" s="14" t="s">
        <v>21</v>
      </c>
      <c r="B4" s="11">
        <v>135000</v>
      </c>
    </row>
    <row r="5" spans="1:2" x14ac:dyDescent="0.35">
      <c r="A5" s="14" t="s">
        <v>14</v>
      </c>
      <c r="B5" s="11">
        <v>270000</v>
      </c>
    </row>
    <row r="6" spans="1:2" x14ac:dyDescent="0.35">
      <c r="A6" s="14" t="s">
        <v>10</v>
      </c>
      <c r="B6" s="11">
        <v>396000</v>
      </c>
    </row>
    <row r="7" spans="1:2" x14ac:dyDescent="0.35">
      <c r="A7" s="14" t="s">
        <v>23</v>
      </c>
      <c r="B7" s="11">
        <v>95000</v>
      </c>
    </row>
    <row r="8" spans="1:2" x14ac:dyDescent="0.35">
      <c r="A8" s="14" t="s">
        <v>30</v>
      </c>
      <c r="B8" s="11">
        <v>20000</v>
      </c>
    </row>
    <row r="9" spans="1:2" x14ac:dyDescent="0.35">
      <c r="A9" s="14" t="s">
        <v>18</v>
      </c>
      <c r="B9" s="11">
        <v>132000</v>
      </c>
    </row>
    <row r="10" spans="1:2" x14ac:dyDescent="0.35">
      <c r="A10" s="14" t="s">
        <v>26</v>
      </c>
      <c r="B10" s="11">
        <v>110000</v>
      </c>
    </row>
    <row r="11" spans="1:2" x14ac:dyDescent="0.35">
      <c r="A11" s="14" t="s">
        <v>43</v>
      </c>
      <c r="B11" s="11">
        <v>1158000</v>
      </c>
    </row>
    <row r="12" spans="1:2" x14ac:dyDescent="0.35">
      <c r="A12" s="14"/>
    </row>
    <row r="13" spans="1:2" ht="14.5" customHeight="1" x14ac:dyDescent="0.35">
      <c r="A13" s="5" t="s">
        <v>48</v>
      </c>
    </row>
    <row r="14" spans="1:2" ht="174" x14ac:dyDescent="0.35">
      <c r="A14" s="4" t="s">
        <v>46</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0"/>
  <sheetViews>
    <sheetView workbookViewId="0">
      <selection activeCell="C6" sqref="C6"/>
    </sheetView>
  </sheetViews>
  <sheetFormatPr baseColWidth="10" defaultRowHeight="14.5" x14ac:dyDescent="0.35"/>
  <cols>
    <col min="1" max="1" width="16.54296875" bestFit="1" customWidth="1"/>
    <col min="2" max="2" width="13.54296875" style="11" bestFit="1" customWidth="1"/>
  </cols>
  <sheetData>
    <row r="2" spans="1:2" x14ac:dyDescent="0.35">
      <c r="A2" s="5" t="s">
        <v>53</v>
      </c>
    </row>
    <row r="3" spans="1:2" x14ac:dyDescent="0.35">
      <c r="A3" s="13" t="s">
        <v>42</v>
      </c>
      <c r="B3" s="11" t="s">
        <v>45</v>
      </c>
    </row>
    <row r="4" spans="1:2" x14ac:dyDescent="0.35">
      <c r="A4" s="14" t="s">
        <v>49</v>
      </c>
      <c r="B4" s="11">
        <v>217100</v>
      </c>
    </row>
    <row r="5" spans="1:2" x14ac:dyDescent="0.35">
      <c r="A5" s="14" t="s">
        <v>50</v>
      </c>
      <c r="B5" s="11">
        <v>509400</v>
      </c>
    </row>
    <row r="6" spans="1:2" x14ac:dyDescent="0.35">
      <c r="A6" s="14" t="s">
        <v>51</v>
      </c>
      <c r="B6" s="11">
        <v>431500</v>
      </c>
    </row>
    <row r="7" spans="1:2" x14ac:dyDescent="0.35">
      <c r="A7" s="14" t="s">
        <v>43</v>
      </c>
      <c r="B7" s="11">
        <v>1158000</v>
      </c>
    </row>
    <row r="9" spans="1:2" x14ac:dyDescent="0.35">
      <c r="A9" s="5" t="s">
        <v>48</v>
      </c>
    </row>
    <row r="10" spans="1:2" ht="290" x14ac:dyDescent="0.35">
      <c r="A10" s="16"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1"/>
  <sheetViews>
    <sheetView workbookViewId="0">
      <selection activeCell="A10" sqref="A10"/>
    </sheetView>
  </sheetViews>
  <sheetFormatPr baseColWidth="10" defaultRowHeight="14.5" x14ac:dyDescent="0.35"/>
  <cols>
    <col min="1" max="1" width="19.08984375" customWidth="1"/>
    <col min="2" max="2" width="15.54296875" customWidth="1"/>
  </cols>
  <sheetData>
    <row r="2" spans="1:2" x14ac:dyDescent="0.35">
      <c r="A2" s="5" t="s">
        <v>54</v>
      </c>
    </row>
    <row r="3" spans="1:2" x14ac:dyDescent="0.35">
      <c r="A3" s="13" t="s">
        <v>42</v>
      </c>
      <c r="B3" t="s">
        <v>45</v>
      </c>
    </row>
    <row r="4" spans="1:2" x14ac:dyDescent="0.35">
      <c r="A4" s="14" t="s">
        <v>15</v>
      </c>
      <c r="B4" s="11">
        <v>270000</v>
      </c>
    </row>
    <row r="5" spans="1:2" x14ac:dyDescent="0.35">
      <c r="A5" s="14" t="s">
        <v>11</v>
      </c>
      <c r="B5" s="11">
        <v>531000</v>
      </c>
    </row>
    <row r="6" spans="1:2" x14ac:dyDescent="0.35">
      <c r="A6" s="14" t="s">
        <v>24</v>
      </c>
      <c r="B6" s="11">
        <v>115000</v>
      </c>
    </row>
    <row r="7" spans="1:2" x14ac:dyDescent="0.35">
      <c r="A7" s="14" t="s">
        <v>19</v>
      </c>
      <c r="B7" s="11">
        <v>242000</v>
      </c>
    </row>
    <row r="8" spans="1:2" x14ac:dyDescent="0.35">
      <c r="A8" s="14" t="s">
        <v>43</v>
      </c>
      <c r="B8" s="11">
        <v>1158000</v>
      </c>
    </row>
    <row r="10" spans="1:2" x14ac:dyDescent="0.35">
      <c r="A10" s="5" t="s">
        <v>48</v>
      </c>
    </row>
    <row r="11" spans="1:2" ht="319" x14ac:dyDescent="0.35">
      <c r="A11" s="16" t="s">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9"/>
  <sheetViews>
    <sheetView workbookViewId="0">
      <selection activeCell="D5" sqref="D5"/>
    </sheetView>
  </sheetViews>
  <sheetFormatPr baseColWidth="10" defaultRowHeight="14.5" x14ac:dyDescent="0.35"/>
  <cols>
    <col min="1" max="1" width="16.54296875" bestFit="1" customWidth="1"/>
    <col min="2" max="2" width="13.54296875" bestFit="1" customWidth="1"/>
  </cols>
  <sheetData>
    <row r="2" spans="1:2" x14ac:dyDescent="0.35">
      <c r="A2" s="5" t="s">
        <v>56</v>
      </c>
    </row>
    <row r="3" spans="1:2" x14ac:dyDescent="0.35">
      <c r="A3" s="13" t="s">
        <v>42</v>
      </c>
      <c r="B3" t="s">
        <v>45</v>
      </c>
    </row>
    <row r="4" spans="1:2" x14ac:dyDescent="0.35">
      <c r="A4" s="14" t="s">
        <v>13</v>
      </c>
      <c r="B4" s="11">
        <v>801000</v>
      </c>
    </row>
    <row r="5" spans="1:2" x14ac:dyDescent="0.35">
      <c r="A5" s="14" t="s">
        <v>20</v>
      </c>
      <c r="B5" s="11">
        <v>357000</v>
      </c>
    </row>
    <row r="6" spans="1:2" x14ac:dyDescent="0.35">
      <c r="A6" s="14" t="s">
        <v>43</v>
      </c>
      <c r="B6" s="11">
        <v>1158000</v>
      </c>
    </row>
    <row r="8" spans="1:2" x14ac:dyDescent="0.35">
      <c r="A8" s="5" t="s">
        <v>48</v>
      </c>
    </row>
    <row r="9" spans="1:2" ht="304.5" x14ac:dyDescent="0.35">
      <c r="A9" s="7" t="s">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9"/>
  <sheetViews>
    <sheetView workbookViewId="0">
      <selection activeCell="A2" sqref="A2"/>
    </sheetView>
  </sheetViews>
  <sheetFormatPr baseColWidth="10" defaultRowHeight="14.5" x14ac:dyDescent="0.35"/>
  <cols>
    <col min="1" max="1" width="16.54296875" bestFit="1" customWidth="1"/>
    <col min="2" max="2" width="13.54296875" bestFit="1" customWidth="1"/>
  </cols>
  <sheetData>
    <row r="2" spans="1:2" x14ac:dyDescent="0.35">
      <c r="A2" s="5" t="s">
        <v>59</v>
      </c>
    </row>
    <row r="3" spans="1:2" x14ac:dyDescent="0.35">
      <c r="A3" s="13" t="s">
        <v>42</v>
      </c>
      <c r="B3" t="s">
        <v>45</v>
      </c>
    </row>
    <row r="4" spans="1:2" x14ac:dyDescent="0.35">
      <c r="A4" s="14" t="s">
        <v>12</v>
      </c>
      <c r="B4" s="11">
        <v>660900</v>
      </c>
    </row>
    <row r="5" spans="1:2" x14ac:dyDescent="0.35">
      <c r="A5" s="14" t="s">
        <v>16</v>
      </c>
      <c r="B5" s="11">
        <v>497100</v>
      </c>
    </row>
    <row r="6" spans="1:2" x14ac:dyDescent="0.35">
      <c r="A6" s="14" t="s">
        <v>43</v>
      </c>
      <c r="B6" s="11">
        <v>1158000</v>
      </c>
    </row>
    <row r="8" spans="1:2" x14ac:dyDescent="0.35">
      <c r="A8" s="5" t="s">
        <v>48</v>
      </c>
    </row>
    <row r="9" spans="1:2" ht="333.5" x14ac:dyDescent="0.35">
      <c r="A9" s="7" t="s">
        <v>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4"/>
  <sheetViews>
    <sheetView topLeftCell="A10" workbookViewId="0">
      <selection activeCell="A13" sqref="A13"/>
    </sheetView>
  </sheetViews>
  <sheetFormatPr baseColWidth="10" defaultRowHeight="14.5" x14ac:dyDescent="0.35"/>
  <cols>
    <col min="1" max="1" width="18.7265625" customWidth="1"/>
    <col min="2" max="2" width="16.08984375" bestFit="1" customWidth="1"/>
  </cols>
  <sheetData>
    <row r="2" spans="1:2" x14ac:dyDescent="0.35">
      <c r="A2" s="5" t="s">
        <v>60</v>
      </c>
    </row>
    <row r="3" spans="1:2" x14ac:dyDescent="0.35">
      <c r="A3" s="13" t="s">
        <v>42</v>
      </c>
      <c r="B3" t="s">
        <v>44</v>
      </c>
    </row>
    <row r="4" spans="1:2" x14ac:dyDescent="0.35">
      <c r="A4" s="14" t="s">
        <v>21</v>
      </c>
      <c r="B4" s="15">
        <v>75</v>
      </c>
    </row>
    <row r="5" spans="1:2" x14ac:dyDescent="0.35">
      <c r="A5" s="14" t="s">
        <v>14</v>
      </c>
      <c r="B5" s="15">
        <v>180</v>
      </c>
    </row>
    <row r="6" spans="1:2" x14ac:dyDescent="0.35">
      <c r="A6" s="14" t="s">
        <v>10</v>
      </c>
      <c r="B6" s="15">
        <v>198</v>
      </c>
    </row>
    <row r="7" spans="1:2" x14ac:dyDescent="0.35">
      <c r="A7" s="14" t="s">
        <v>23</v>
      </c>
      <c r="B7" s="15">
        <v>10</v>
      </c>
    </row>
    <row r="8" spans="1:2" x14ac:dyDescent="0.35">
      <c r="A8" s="14" t="s">
        <v>30</v>
      </c>
      <c r="B8" s="15">
        <v>2</v>
      </c>
    </row>
    <row r="9" spans="1:2" x14ac:dyDescent="0.35">
      <c r="A9" s="14" t="s">
        <v>18</v>
      </c>
      <c r="B9" s="15">
        <v>11</v>
      </c>
    </row>
    <row r="10" spans="1:2" x14ac:dyDescent="0.35">
      <c r="A10" s="14" t="s">
        <v>26</v>
      </c>
      <c r="B10" s="15">
        <v>10</v>
      </c>
    </row>
    <row r="11" spans="1:2" x14ac:dyDescent="0.35">
      <c r="A11" s="14" t="s">
        <v>43</v>
      </c>
      <c r="B11" s="15">
        <v>486</v>
      </c>
    </row>
    <row r="13" spans="1:2" x14ac:dyDescent="0.35">
      <c r="A13" t="s">
        <v>48</v>
      </c>
    </row>
    <row r="14" spans="1:2" ht="290" x14ac:dyDescent="0.35">
      <c r="A14" s="7" t="s">
        <v>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Views>
    <sheetView topLeftCell="A2" workbookViewId="0">
      <selection activeCell="D9" sqref="D9"/>
    </sheetView>
  </sheetViews>
  <sheetFormatPr baseColWidth="10" defaultRowHeight="13" customHeight="1" x14ac:dyDescent="0.35"/>
  <cols>
    <col min="1" max="1" width="10.453125" bestFit="1" customWidth="1"/>
    <col min="2" max="2" width="8.90625" bestFit="1" customWidth="1"/>
    <col min="3" max="3" width="10.54296875" customWidth="1"/>
    <col min="4" max="4" width="10.81640625" customWidth="1"/>
    <col min="5" max="5" width="10.36328125" style="8" customWidth="1"/>
    <col min="6" max="7" width="12.6328125" style="11" customWidth="1"/>
    <col min="8" max="8" width="14.1796875" customWidth="1"/>
    <col min="9" max="9" width="10.7265625" bestFit="1" customWidth="1"/>
  </cols>
  <sheetData>
    <row r="1" spans="1:10" ht="13" customHeight="1" x14ac:dyDescent="0.35">
      <c r="A1" s="2" t="s">
        <v>0</v>
      </c>
      <c r="B1" s="2" t="s">
        <v>1</v>
      </c>
      <c r="C1" s="2" t="s">
        <v>2</v>
      </c>
      <c r="D1" s="2" t="s">
        <v>3</v>
      </c>
      <c r="E1" s="2" t="s">
        <v>4</v>
      </c>
      <c r="F1" s="9" t="s">
        <v>5</v>
      </c>
      <c r="G1" s="9" t="s">
        <v>6</v>
      </c>
      <c r="H1" s="2" t="s">
        <v>7</v>
      </c>
      <c r="I1" s="2" t="s">
        <v>8</v>
      </c>
      <c r="J1" s="12" t="s">
        <v>41</v>
      </c>
    </row>
    <row r="2" spans="1:10" ht="13" customHeight="1" x14ac:dyDescent="0.35">
      <c r="A2" s="3">
        <v>46092</v>
      </c>
      <c r="B2" s="4" t="s">
        <v>9</v>
      </c>
      <c r="C2" s="4" t="s">
        <v>10</v>
      </c>
      <c r="D2" s="4" t="s">
        <v>11</v>
      </c>
      <c r="E2" s="1">
        <v>9</v>
      </c>
      <c r="F2" s="10">
        <v>2000</v>
      </c>
      <c r="G2" s="10">
        <v>18000</v>
      </c>
      <c r="H2" s="4" t="s">
        <v>12</v>
      </c>
      <c r="I2" s="4" t="s">
        <v>13</v>
      </c>
      <c r="J2" s="4" t="str">
        <f>TEXT(Tabla1[[#This Row],[Fecha]],"mmmm")</f>
        <v>marzo</v>
      </c>
    </row>
    <row r="3" spans="1:10" ht="13" customHeight="1" x14ac:dyDescent="0.35">
      <c r="A3" s="3">
        <v>46092</v>
      </c>
      <c r="B3" s="4" t="s">
        <v>9</v>
      </c>
      <c r="C3" s="4" t="s">
        <v>14</v>
      </c>
      <c r="D3" s="4" t="s">
        <v>15</v>
      </c>
      <c r="E3" s="1">
        <v>12</v>
      </c>
      <c r="F3" s="10">
        <v>1500</v>
      </c>
      <c r="G3" s="10">
        <v>18000</v>
      </c>
      <c r="H3" s="4" t="s">
        <v>16</v>
      </c>
      <c r="I3" s="4" t="s">
        <v>13</v>
      </c>
      <c r="J3" s="4" t="str">
        <f>TEXT(Tabla1[[#This Row],[Fecha]],"mmmm")</f>
        <v>marzo</v>
      </c>
    </row>
    <row r="4" spans="1:10" ht="13" customHeight="1" x14ac:dyDescent="0.35">
      <c r="A4" s="3">
        <v>46093</v>
      </c>
      <c r="B4" s="4" t="s">
        <v>17</v>
      </c>
      <c r="C4" s="4" t="s">
        <v>18</v>
      </c>
      <c r="D4" s="4" t="s">
        <v>19</v>
      </c>
      <c r="E4" s="1">
        <v>2</v>
      </c>
      <c r="F4" s="10">
        <v>12000</v>
      </c>
      <c r="G4" s="10">
        <v>24000</v>
      </c>
      <c r="H4" s="4" t="s">
        <v>16</v>
      </c>
      <c r="I4" s="4" t="s">
        <v>20</v>
      </c>
      <c r="J4" s="4" t="str">
        <f>TEXT(Tabla1[[#This Row],[Fecha]],"mmmm")</f>
        <v>marzo</v>
      </c>
    </row>
    <row r="5" spans="1:10" ht="13" customHeight="1" x14ac:dyDescent="0.35">
      <c r="A5" s="3">
        <v>46093</v>
      </c>
      <c r="B5" s="4" t="s">
        <v>17</v>
      </c>
      <c r="C5" s="4" t="s">
        <v>21</v>
      </c>
      <c r="D5" s="4" t="s">
        <v>11</v>
      </c>
      <c r="E5" s="1">
        <v>7</v>
      </c>
      <c r="F5" s="10">
        <v>1800</v>
      </c>
      <c r="G5" s="10">
        <v>12600</v>
      </c>
      <c r="H5" s="4" t="s">
        <v>12</v>
      </c>
      <c r="I5" s="4" t="s">
        <v>13</v>
      </c>
      <c r="J5" s="4" t="str">
        <f>TEXT(Tabla1[[#This Row],[Fecha]],"mmmm")</f>
        <v>marzo</v>
      </c>
    </row>
    <row r="6" spans="1:10" ht="13" customHeight="1" x14ac:dyDescent="0.35">
      <c r="A6" s="3">
        <v>46094</v>
      </c>
      <c r="B6" s="4" t="s">
        <v>22</v>
      </c>
      <c r="C6" s="4" t="s">
        <v>10</v>
      </c>
      <c r="D6" s="4" t="s">
        <v>11</v>
      </c>
      <c r="E6" s="1">
        <v>12</v>
      </c>
      <c r="F6" s="10">
        <v>2000</v>
      </c>
      <c r="G6" s="10">
        <v>24000</v>
      </c>
      <c r="H6" s="4" t="s">
        <v>12</v>
      </c>
      <c r="I6" s="4" t="s">
        <v>13</v>
      </c>
      <c r="J6" s="4" t="str">
        <f>TEXT(Tabla1[[#This Row],[Fecha]],"mmmm")</f>
        <v>marzo</v>
      </c>
    </row>
    <row r="7" spans="1:10" ht="13" customHeight="1" x14ac:dyDescent="0.35">
      <c r="A7" s="3">
        <v>46094</v>
      </c>
      <c r="B7" s="4" t="s">
        <v>22</v>
      </c>
      <c r="C7" s="4" t="s">
        <v>23</v>
      </c>
      <c r="D7" s="4" t="s">
        <v>24</v>
      </c>
      <c r="E7" s="1">
        <v>2</v>
      </c>
      <c r="F7" s="10">
        <v>9500</v>
      </c>
      <c r="G7" s="10">
        <v>19000</v>
      </c>
      <c r="H7" s="4" t="s">
        <v>16</v>
      </c>
      <c r="I7" s="4" t="s">
        <v>20</v>
      </c>
      <c r="J7" s="4" t="str">
        <f>TEXT(Tabla1[[#This Row],[Fecha]],"mmmm")</f>
        <v>marzo</v>
      </c>
    </row>
    <row r="8" spans="1:10" ht="13" customHeight="1" x14ac:dyDescent="0.35">
      <c r="A8" s="3">
        <v>46095</v>
      </c>
      <c r="B8" s="4" t="s">
        <v>25</v>
      </c>
      <c r="C8" s="4" t="s">
        <v>26</v>
      </c>
      <c r="D8" s="4" t="s">
        <v>19</v>
      </c>
      <c r="E8" s="1">
        <v>3</v>
      </c>
      <c r="F8" s="10">
        <v>11000</v>
      </c>
      <c r="G8" s="10">
        <v>33000</v>
      </c>
      <c r="H8" s="4" t="s">
        <v>16</v>
      </c>
      <c r="I8" s="4" t="s">
        <v>20</v>
      </c>
      <c r="J8" s="4" t="str">
        <f>TEXT(Tabla1[[#This Row],[Fecha]],"mmmm")</f>
        <v>marzo</v>
      </c>
    </row>
    <row r="9" spans="1:10" ht="13" customHeight="1" x14ac:dyDescent="0.35">
      <c r="A9" s="3">
        <v>46095</v>
      </c>
      <c r="B9" s="4" t="s">
        <v>25</v>
      </c>
      <c r="C9" s="4" t="s">
        <v>14</v>
      </c>
      <c r="D9" s="4" t="s">
        <v>15</v>
      </c>
      <c r="E9" s="1">
        <v>15</v>
      </c>
      <c r="F9" s="10">
        <v>1500</v>
      </c>
      <c r="G9" s="10">
        <v>22500</v>
      </c>
      <c r="H9" s="4" t="s">
        <v>12</v>
      </c>
      <c r="I9" s="4" t="s">
        <v>13</v>
      </c>
      <c r="J9" s="4" t="str">
        <f>TEXT(Tabla1[[#This Row],[Fecha]],"mmmm")</f>
        <v>marzo</v>
      </c>
    </row>
    <row r="10" spans="1:10" ht="13" customHeight="1" x14ac:dyDescent="0.35">
      <c r="A10" s="3">
        <v>46096</v>
      </c>
      <c r="B10" s="4" t="s">
        <v>27</v>
      </c>
      <c r="C10" s="4" t="s">
        <v>10</v>
      </c>
      <c r="D10" s="4" t="s">
        <v>11</v>
      </c>
      <c r="E10" s="1">
        <v>14</v>
      </c>
      <c r="F10" s="10">
        <v>2000</v>
      </c>
      <c r="G10" s="10">
        <v>28000</v>
      </c>
      <c r="H10" s="4" t="s">
        <v>12</v>
      </c>
      <c r="I10" s="4" t="s">
        <v>13</v>
      </c>
      <c r="J10" s="4" t="str">
        <f>TEXT(Tabla1[[#This Row],[Fecha]],"mmmm")</f>
        <v>marzo</v>
      </c>
    </row>
    <row r="11" spans="1:10" ht="13" customHeight="1" x14ac:dyDescent="0.35">
      <c r="A11" s="3">
        <v>46096</v>
      </c>
      <c r="B11" s="4" t="s">
        <v>27</v>
      </c>
      <c r="C11" s="4" t="s">
        <v>21</v>
      </c>
      <c r="D11" s="4" t="s">
        <v>11</v>
      </c>
      <c r="E11" s="1">
        <v>10</v>
      </c>
      <c r="F11" s="10">
        <v>1800</v>
      </c>
      <c r="G11" s="10">
        <v>18000</v>
      </c>
      <c r="H11" s="4" t="s">
        <v>16</v>
      </c>
      <c r="I11" s="4" t="s">
        <v>13</v>
      </c>
      <c r="J11" s="4" t="str">
        <f>TEXT(Tabla1[[#This Row],[Fecha]],"mmmm")</f>
        <v>marzo</v>
      </c>
    </row>
    <row r="12" spans="1:10" ht="13" customHeight="1" x14ac:dyDescent="0.35">
      <c r="A12" s="3">
        <v>46113</v>
      </c>
      <c r="B12" s="4" t="s">
        <v>9</v>
      </c>
      <c r="C12" s="4" t="s">
        <v>10</v>
      </c>
      <c r="D12" s="4" t="s">
        <v>11</v>
      </c>
      <c r="E12" s="1">
        <v>8</v>
      </c>
      <c r="F12" s="10">
        <v>2000</v>
      </c>
      <c r="G12" s="10">
        <v>16000</v>
      </c>
      <c r="H12" s="4" t="s">
        <v>12</v>
      </c>
      <c r="I12" s="4" t="s">
        <v>13</v>
      </c>
      <c r="J12" s="4" t="str">
        <f>TEXT(Tabla1[[#This Row],[Fecha]],"mmmm")</f>
        <v>abril</v>
      </c>
    </row>
    <row r="13" spans="1:10" ht="13" customHeight="1" x14ac:dyDescent="0.35">
      <c r="A13" s="3">
        <v>46113</v>
      </c>
      <c r="B13" s="4" t="s">
        <v>9</v>
      </c>
      <c r="C13" s="4" t="s">
        <v>14</v>
      </c>
      <c r="D13" s="4" t="s">
        <v>15</v>
      </c>
      <c r="E13" s="1">
        <v>11</v>
      </c>
      <c r="F13" s="10">
        <v>1500</v>
      </c>
      <c r="G13" s="10">
        <v>16500</v>
      </c>
      <c r="H13" s="4" t="s">
        <v>16</v>
      </c>
      <c r="I13" s="4" t="s">
        <v>13</v>
      </c>
      <c r="J13" s="4" t="str">
        <f>TEXT(Tabla1[[#This Row],[Fecha]],"mmmm")</f>
        <v>abril</v>
      </c>
    </row>
    <row r="14" spans="1:10" ht="13" customHeight="1" x14ac:dyDescent="0.35">
      <c r="A14" s="3">
        <v>46114</v>
      </c>
      <c r="B14" s="4" t="s">
        <v>17</v>
      </c>
      <c r="C14" s="4" t="s">
        <v>18</v>
      </c>
      <c r="D14" s="4" t="s">
        <v>19</v>
      </c>
      <c r="E14" s="1">
        <v>2</v>
      </c>
      <c r="F14" s="10">
        <v>12000</v>
      </c>
      <c r="G14" s="10">
        <v>24000</v>
      </c>
      <c r="H14" s="4" t="s">
        <v>16</v>
      </c>
      <c r="I14" s="4" t="s">
        <v>20</v>
      </c>
      <c r="J14" s="4" t="str">
        <f>TEXT(Tabla1[[#This Row],[Fecha]],"mmmm")</f>
        <v>abril</v>
      </c>
    </row>
    <row r="15" spans="1:10" ht="13" customHeight="1" x14ac:dyDescent="0.35">
      <c r="A15" s="3">
        <v>46114</v>
      </c>
      <c r="B15" s="4" t="s">
        <v>17</v>
      </c>
      <c r="C15" s="4" t="s">
        <v>21</v>
      </c>
      <c r="D15" s="4" t="s">
        <v>11</v>
      </c>
      <c r="E15" s="1">
        <v>6</v>
      </c>
      <c r="F15" s="10">
        <v>1800</v>
      </c>
      <c r="G15" s="10">
        <v>10800</v>
      </c>
      <c r="H15" s="4" t="s">
        <v>12</v>
      </c>
      <c r="I15" s="4" t="s">
        <v>13</v>
      </c>
      <c r="J15" s="4" t="str">
        <f>TEXT(Tabla1[[#This Row],[Fecha]],"mmmm")</f>
        <v>abril</v>
      </c>
    </row>
    <row r="16" spans="1:10" ht="13" customHeight="1" x14ac:dyDescent="0.35">
      <c r="A16" s="3">
        <v>46115</v>
      </c>
      <c r="B16" s="4" t="s">
        <v>22</v>
      </c>
      <c r="C16" s="4" t="s">
        <v>10</v>
      </c>
      <c r="D16" s="4" t="s">
        <v>11</v>
      </c>
      <c r="E16" s="1">
        <v>12</v>
      </c>
      <c r="F16" s="10">
        <v>2000</v>
      </c>
      <c r="G16" s="10">
        <v>24000</v>
      </c>
      <c r="H16" s="4" t="s">
        <v>12</v>
      </c>
      <c r="I16" s="4" t="s">
        <v>13</v>
      </c>
      <c r="J16" s="4" t="str">
        <f>TEXT(Tabla1[[#This Row],[Fecha]],"mmmm")</f>
        <v>abril</v>
      </c>
    </row>
    <row r="17" spans="1:10" ht="13" customHeight="1" x14ac:dyDescent="0.35">
      <c r="A17" s="3">
        <v>46115</v>
      </c>
      <c r="B17" s="4" t="s">
        <v>22</v>
      </c>
      <c r="C17" s="4" t="s">
        <v>23</v>
      </c>
      <c r="D17" s="4" t="s">
        <v>24</v>
      </c>
      <c r="E17" s="1">
        <v>2</v>
      </c>
      <c r="F17" s="10">
        <v>9500</v>
      </c>
      <c r="G17" s="10">
        <v>19000</v>
      </c>
      <c r="H17" s="4" t="s">
        <v>16</v>
      </c>
      <c r="I17" s="4" t="s">
        <v>20</v>
      </c>
      <c r="J17" s="4" t="str">
        <f>TEXT(Tabla1[[#This Row],[Fecha]],"mmmm")</f>
        <v>abril</v>
      </c>
    </row>
    <row r="18" spans="1:10" ht="13" customHeight="1" x14ac:dyDescent="0.35">
      <c r="A18" s="3">
        <v>46116</v>
      </c>
      <c r="B18" s="4" t="s">
        <v>25</v>
      </c>
      <c r="C18" s="4" t="s">
        <v>26</v>
      </c>
      <c r="D18" s="4" t="s">
        <v>19</v>
      </c>
      <c r="E18" s="1">
        <v>3</v>
      </c>
      <c r="F18" s="10">
        <v>11000</v>
      </c>
      <c r="G18" s="10">
        <v>33000</v>
      </c>
      <c r="H18" s="4" t="s">
        <v>16</v>
      </c>
      <c r="I18" s="4" t="s">
        <v>20</v>
      </c>
      <c r="J18" s="4" t="str">
        <f>TEXT(Tabla1[[#This Row],[Fecha]],"mmmm")</f>
        <v>abril</v>
      </c>
    </row>
    <row r="19" spans="1:10" ht="13" customHeight="1" x14ac:dyDescent="0.35">
      <c r="A19" s="3">
        <v>46116</v>
      </c>
      <c r="B19" s="4" t="s">
        <v>25</v>
      </c>
      <c r="C19" s="4" t="s">
        <v>14</v>
      </c>
      <c r="D19" s="4" t="s">
        <v>15</v>
      </c>
      <c r="E19" s="1">
        <v>16</v>
      </c>
      <c r="F19" s="10">
        <v>1500</v>
      </c>
      <c r="G19" s="10">
        <v>24000</v>
      </c>
      <c r="H19" s="4" t="s">
        <v>12</v>
      </c>
      <c r="I19" s="4" t="s">
        <v>13</v>
      </c>
      <c r="J19" s="4" t="str">
        <f>TEXT(Tabla1[[#This Row],[Fecha]],"mmmm")</f>
        <v>abril</v>
      </c>
    </row>
    <row r="20" spans="1:10" ht="13" customHeight="1" x14ac:dyDescent="0.35">
      <c r="A20" s="3">
        <v>46117</v>
      </c>
      <c r="B20" s="4" t="s">
        <v>27</v>
      </c>
      <c r="C20" s="4" t="s">
        <v>10</v>
      </c>
      <c r="D20" s="4" t="s">
        <v>11</v>
      </c>
      <c r="E20" s="1">
        <v>14</v>
      </c>
      <c r="F20" s="10">
        <v>2000</v>
      </c>
      <c r="G20" s="10">
        <v>28000</v>
      </c>
      <c r="H20" s="4" t="s">
        <v>12</v>
      </c>
      <c r="I20" s="4" t="s">
        <v>13</v>
      </c>
      <c r="J20" s="4" t="str">
        <f>TEXT(Tabla1[[#This Row],[Fecha]],"mmmm")</f>
        <v>abril</v>
      </c>
    </row>
    <row r="21" spans="1:10" ht="13" customHeight="1" x14ac:dyDescent="0.35">
      <c r="A21" s="3">
        <v>46117</v>
      </c>
      <c r="B21" s="4" t="s">
        <v>27</v>
      </c>
      <c r="C21" s="4" t="s">
        <v>21</v>
      </c>
      <c r="D21" s="4" t="s">
        <v>11</v>
      </c>
      <c r="E21" s="1">
        <v>9</v>
      </c>
      <c r="F21" s="10">
        <v>1800</v>
      </c>
      <c r="G21" s="10">
        <v>16200</v>
      </c>
      <c r="H21" s="4" t="s">
        <v>16</v>
      </c>
      <c r="I21" s="4" t="s">
        <v>13</v>
      </c>
      <c r="J21" s="4" t="str">
        <f>TEXT(Tabla1[[#This Row],[Fecha]],"mmmm")</f>
        <v>abril</v>
      </c>
    </row>
    <row r="22" spans="1:10" ht="13" customHeight="1" x14ac:dyDescent="0.35">
      <c r="A22" s="3">
        <v>46118</v>
      </c>
      <c r="B22" s="4" t="s">
        <v>28</v>
      </c>
      <c r="C22" s="4" t="s">
        <v>14</v>
      </c>
      <c r="D22" s="4" t="s">
        <v>15</v>
      </c>
      <c r="E22" s="1">
        <v>8</v>
      </c>
      <c r="F22" s="10">
        <v>1500</v>
      </c>
      <c r="G22" s="10">
        <v>12000</v>
      </c>
      <c r="H22" s="4" t="s">
        <v>12</v>
      </c>
      <c r="I22" s="4" t="s">
        <v>13</v>
      </c>
      <c r="J22" s="4" t="str">
        <f>TEXT(Tabla1[[#This Row],[Fecha]],"mmmm")</f>
        <v>abril</v>
      </c>
    </row>
    <row r="23" spans="1:10" ht="13" customHeight="1" x14ac:dyDescent="0.35">
      <c r="A23" s="3">
        <v>46119</v>
      </c>
      <c r="B23" s="4" t="s">
        <v>29</v>
      </c>
      <c r="C23" s="4" t="s">
        <v>30</v>
      </c>
      <c r="D23" s="4" t="s">
        <v>24</v>
      </c>
      <c r="E23" s="1">
        <v>2</v>
      </c>
      <c r="F23" s="10">
        <v>10000</v>
      </c>
      <c r="G23" s="10">
        <v>20000</v>
      </c>
      <c r="H23" s="4" t="s">
        <v>16</v>
      </c>
      <c r="I23" s="4" t="s">
        <v>20</v>
      </c>
      <c r="J23" s="4" t="str">
        <f>TEXT(Tabla1[[#This Row],[Fecha]],"mmmm")</f>
        <v>abril</v>
      </c>
    </row>
    <row r="24" spans="1:10" ht="13" customHeight="1" x14ac:dyDescent="0.35">
      <c r="A24" s="3">
        <v>46120</v>
      </c>
      <c r="B24" s="4" t="s">
        <v>9</v>
      </c>
      <c r="C24" s="4" t="s">
        <v>10</v>
      </c>
      <c r="D24" s="4" t="s">
        <v>11</v>
      </c>
      <c r="E24" s="1">
        <v>10</v>
      </c>
      <c r="F24" s="10">
        <v>2000</v>
      </c>
      <c r="G24" s="10">
        <v>20000</v>
      </c>
      <c r="H24" s="4" t="s">
        <v>12</v>
      </c>
      <c r="I24" s="4" t="s">
        <v>13</v>
      </c>
      <c r="J24" s="4" t="str">
        <f>TEXT(Tabla1[[#This Row],[Fecha]],"mmmm")</f>
        <v>abril</v>
      </c>
    </row>
    <row r="25" spans="1:10" ht="13" customHeight="1" x14ac:dyDescent="0.35">
      <c r="A25" s="3">
        <v>46121</v>
      </c>
      <c r="B25" s="4" t="s">
        <v>17</v>
      </c>
      <c r="C25" s="4" t="s">
        <v>21</v>
      </c>
      <c r="D25" s="4" t="s">
        <v>11</v>
      </c>
      <c r="E25" s="1">
        <v>7</v>
      </c>
      <c r="F25" s="10">
        <v>1800</v>
      </c>
      <c r="G25" s="10">
        <v>12600</v>
      </c>
      <c r="H25" s="4" t="s">
        <v>12</v>
      </c>
      <c r="I25" s="4" t="s">
        <v>13</v>
      </c>
      <c r="J25" s="4" t="str">
        <f>TEXT(Tabla1[[#This Row],[Fecha]],"mmmm")</f>
        <v>abril</v>
      </c>
    </row>
    <row r="26" spans="1:10" ht="13" customHeight="1" x14ac:dyDescent="0.35">
      <c r="A26" s="3">
        <v>46122</v>
      </c>
      <c r="B26" s="4" t="s">
        <v>22</v>
      </c>
      <c r="C26" s="4" t="s">
        <v>18</v>
      </c>
      <c r="D26" s="4" t="s">
        <v>19</v>
      </c>
      <c r="E26" s="1">
        <v>2</v>
      </c>
      <c r="F26" s="10">
        <v>12000</v>
      </c>
      <c r="G26" s="10">
        <v>24000</v>
      </c>
      <c r="H26" s="4" t="s">
        <v>16</v>
      </c>
      <c r="I26" s="4" t="s">
        <v>20</v>
      </c>
      <c r="J26" s="4" t="str">
        <f>TEXT(Tabla1[[#This Row],[Fecha]],"mmmm")</f>
        <v>abril</v>
      </c>
    </row>
    <row r="27" spans="1:10" ht="13" customHeight="1" x14ac:dyDescent="0.35">
      <c r="A27" s="3">
        <v>46123</v>
      </c>
      <c r="B27" s="4" t="s">
        <v>25</v>
      </c>
      <c r="C27" s="4" t="s">
        <v>14</v>
      </c>
      <c r="D27" s="4" t="s">
        <v>15</v>
      </c>
      <c r="E27" s="1">
        <v>18</v>
      </c>
      <c r="F27" s="10">
        <v>1500</v>
      </c>
      <c r="G27" s="10">
        <v>27000</v>
      </c>
      <c r="H27" s="4" t="s">
        <v>12</v>
      </c>
      <c r="I27" s="4" t="s">
        <v>13</v>
      </c>
      <c r="J27" s="4" t="str">
        <f>TEXT(Tabla1[[#This Row],[Fecha]],"mmmm")</f>
        <v>abril</v>
      </c>
    </row>
    <row r="28" spans="1:10" ht="13" customHeight="1" x14ac:dyDescent="0.35">
      <c r="A28" s="3">
        <v>46124</v>
      </c>
      <c r="B28" s="4" t="s">
        <v>27</v>
      </c>
      <c r="C28" s="4" t="s">
        <v>10</v>
      </c>
      <c r="D28" s="4" t="s">
        <v>11</v>
      </c>
      <c r="E28" s="1">
        <v>15</v>
      </c>
      <c r="F28" s="10">
        <v>2000</v>
      </c>
      <c r="G28" s="10">
        <v>30000</v>
      </c>
      <c r="H28" s="4" t="s">
        <v>12</v>
      </c>
      <c r="I28" s="4" t="s">
        <v>13</v>
      </c>
      <c r="J28" s="4" t="str">
        <f>TEXT(Tabla1[[#This Row],[Fecha]],"mmmm")</f>
        <v>abril</v>
      </c>
    </row>
    <row r="29" spans="1:10" ht="13" customHeight="1" x14ac:dyDescent="0.35">
      <c r="A29" s="3">
        <v>46125</v>
      </c>
      <c r="B29" s="4" t="s">
        <v>28</v>
      </c>
      <c r="C29" s="4" t="s">
        <v>21</v>
      </c>
      <c r="D29" s="4" t="s">
        <v>11</v>
      </c>
      <c r="E29" s="1">
        <v>6</v>
      </c>
      <c r="F29" s="10">
        <v>1800</v>
      </c>
      <c r="G29" s="10">
        <v>10800</v>
      </c>
      <c r="H29" s="4" t="s">
        <v>16</v>
      </c>
      <c r="I29" s="4" t="s">
        <v>13</v>
      </c>
      <c r="J29" s="4" t="str">
        <f>TEXT(Tabla1[[#This Row],[Fecha]],"mmmm")</f>
        <v>abril</v>
      </c>
    </row>
    <row r="30" spans="1:10" ht="13" customHeight="1" x14ac:dyDescent="0.35">
      <c r="A30" s="3">
        <v>46126</v>
      </c>
      <c r="B30" s="4" t="s">
        <v>29</v>
      </c>
      <c r="C30" s="4" t="s">
        <v>23</v>
      </c>
      <c r="D30" s="4" t="s">
        <v>24</v>
      </c>
      <c r="E30" s="1">
        <v>2</v>
      </c>
      <c r="F30" s="10">
        <v>9500</v>
      </c>
      <c r="G30" s="10">
        <v>19000</v>
      </c>
      <c r="H30" s="4" t="s">
        <v>16</v>
      </c>
      <c r="I30" s="4" t="s">
        <v>20</v>
      </c>
      <c r="J30" s="4" t="str">
        <f>TEXT(Tabla1[[#This Row],[Fecha]],"mmmm")</f>
        <v>abril</v>
      </c>
    </row>
    <row r="31" spans="1:10" ht="13" customHeight="1" x14ac:dyDescent="0.35">
      <c r="A31" s="3">
        <v>46127</v>
      </c>
      <c r="B31" s="4" t="s">
        <v>9</v>
      </c>
      <c r="C31" s="4" t="s">
        <v>14</v>
      </c>
      <c r="D31" s="4" t="s">
        <v>15</v>
      </c>
      <c r="E31" s="1">
        <v>12</v>
      </c>
      <c r="F31" s="10">
        <v>1500</v>
      </c>
      <c r="G31" s="10">
        <v>18000</v>
      </c>
      <c r="H31" s="4" t="s">
        <v>12</v>
      </c>
      <c r="I31" s="4" t="s">
        <v>13</v>
      </c>
      <c r="J31" s="4" t="str">
        <f>TEXT(Tabla1[[#This Row],[Fecha]],"mmmm")</f>
        <v>abril</v>
      </c>
    </row>
    <row r="32" spans="1:10" ht="13" customHeight="1" x14ac:dyDescent="0.35">
      <c r="A32" s="3">
        <v>46128</v>
      </c>
      <c r="B32" s="4" t="s">
        <v>17</v>
      </c>
      <c r="C32" s="4" t="s">
        <v>10</v>
      </c>
      <c r="D32" s="4" t="s">
        <v>11</v>
      </c>
      <c r="E32" s="1">
        <v>11</v>
      </c>
      <c r="F32" s="10">
        <v>2000</v>
      </c>
      <c r="G32" s="10">
        <v>22000</v>
      </c>
      <c r="H32" s="4" t="s">
        <v>12</v>
      </c>
      <c r="I32" s="4" t="s">
        <v>13</v>
      </c>
      <c r="J32" s="4" t="str">
        <f>TEXT(Tabla1[[#This Row],[Fecha]],"mmmm")</f>
        <v>abril</v>
      </c>
    </row>
    <row r="33" spans="1:10" ht="13" customHeight="1" x14ac:dyDescent="0.35">
      <c r="A33" s="3">
        <v>46129</v>
      </c>
      <c r="B33" s="4" t="s">
        <v>22</v>
      </c>
      <c r="C33" s="4" t="s">
        <v>26</v>
      </c>
      <c r="D33" s="4" t="s">
        <v>19</v>
      </c>
      <c r="E33" s="1">
        <v>2</v>
      </c>
      <c r="F33" s="10">
        <v>11000</v>
      </c>
      <c r="G33" s="10">
        <v>22000</v>
      </c>
      <c r="H33" s="4" t="s">
        <v>16</v>
      </c>
      <c r="I33" s="4" t="s">
        <v>20</v>
      </c>
      <c r="J33" s="4" t="str">
        <f>TEXT(Tabla1[[#This Row],[Fecha]],"mmmm")</f>
        <v>abril</v>
      </c>
    </row>
    <row r="34" spans="1:10" ht="13" customHeight="1" x14ac:dyDescent="0.35">
      <c r="A34" s="3">
        <v>46130</v>
      </c>
      <c r="B34" s="4" t="s">
        <v>25</v>
      </c>
      <c r="C34" s="4" t="s">
        <v>14</v>
      </c>
      <c r="D34" s="4" t="s">
        <v>15</v>
      </c>
      <c r="E34" s="1">
        <v>17</v>
      </c>
      <c r="F34" s="10">
        <v>1500</v>
      </c>
      <c r="G34" s="10">
        <v>25500</v>
      </c>
      <c r="H34" s="4" t="s">
        <v>12</v>
      </c>
      <c r="I34" s="4" t="s">
        <v>13</v>
      </c>
      <c r="J34" s="4" t="str">
        <f>TEXT(Tabla1[[#This Row],[Fecha]],"mmmm")</f>
        <v>abril</v>
      </c>
    </row>
    <row r="35" spans="1:10" ht="13" customHeight="1" x14ac:dyDescent="0.35">
      <c r="A35" s="3">
        <v>46131</v>
      </c>
      <c r="B35" s="4" t="s">
        <v>27</v>
      </c>
      <c r="C35" s="4" t="s">
        <v>10</v>
      </c>
      <c r="D35" s="4" t="s">
        <v>11</v>
      </c>
      <c r="E35" s="1">
        <v>13</v>
      </c>
      <c r="F35" s="10">
        <v>2000</v>
      </c>
      <c r="G35" s="10">
        <v>26000</v>
      </c>
      <c r="H35" s="4" t="s">
        <v>12</v>
      </c>
      <c r="I35" s="4" t="s">
        <v>13</v>
      </c>
      <c r="J35" s="4" t="str">
        <f>TEXT(Tabla1[[#This Row],[Fecha]],"mmmm")</f>
        <v>abril</v>
      </c>
    </row>
    <row r="36" spans="1:10" ht="13" customHeight="1" x14ac:dyDescent="0.35">
      <c r="A36" s="3">
        <v>46132</v>
      </c>
      <c r="B36" s="4" t="s">
        <v>28</v>
      </c>
      <c r="C36" s="4" t="s">
        <v>21</v>
      </c>
      <c r="D36" s="4" t="s">
        <v>11</v>
      </c>
      <c r="E36" s="1">
        <v>5</v>
      </c>
      <c r="F36" s="10">
        <v>1800</v>
      </c>
      <c r="G36" s="10">
        <v>9000</v>
      </c>
      <c r="H36" s="4" t="s">
        <v>16</v>
      </c>
      <c r="I36" s="4" t="s">
        <v>13</v>
      </c>
      <c r="J36" s="4" t="str">
        <f>TEXT(Tabla1[[#This Row],[Fecha]],"mmmm")</f>
        <v>abril</v>
      </c>
    </row>
    <row r="37" spans="1:10" ht="13" customHeight="1" x14ac:dyDescent="0.35">
      <c r="A37" s="3">
        <v>46143</v>
      </c>
      <c r="B37" s="4" t="s">
        <v>22</v>
      </c>
      <c r="C37" s="4" t="s">
        <v>10</v>
      </c>
      <c r="D37" s="4" t="s">
        <v>11</v>
      </c>
      <c r="E37" s="1">
        <v>12</v>
      </c>
      <c r="F37" s="10">
        <v>2000</v>
      </c>
      <c r="G37" s="10">
        <v>24000</v>
      </c>
      <c r="H37" s="4" t="s">
        <v>12</v>
      </c>
      <c r="I37" s="4" t="s">
        <v>13</v>
      </c>
      <c r="J37" s="4" t="str">
        <f>TEXT(Tabla1[[#This Row],[Fecha]],"mmmm")</f>
        <v>mayo</v>
      </c>
    </row>
    <row r="38" spans="1:10" ht="13" customHeight="1" x14ac:dyDescent="0.35">
      <c r="A38" s="3">
        <v>46143</v>
      </c>
      <c r="B38" s="4" t="s">
        <v>22</v>
      </c>
      <c r="C38" s="4" t="s">
        <v>14</v>
      </c>
      <c r="D38" s="4" t="s">
        <v>15</v>
      </c>
      <c r="E38" s="1">
        <v>14</v>
      </c>
      <c r="F38" s="10">
        <v>1500</v>
      </c>
      <c r="G38" s="10">
        <v>21000</v>
      </c>
      <c r="H38" s="4" t="s">
        <v>16</v>
      </c>
      <c r="I38" s="4" t="s">
        <v>13</v>
      </c>
      <c r="J38" s="4" t="str">
        <f>TEXT(Tabla1[[#This Row],[Fecha]],"mmmm")</f>
        <v>mayo</v>
      </c>
    </row>
    <row r="39" spans="1:10" ht="13" customHeight="1" x14ac:dyDescent="0.35">
      <c r="A39" s="3">
        <v>46144</v>
      </c>
      <c r="B39" s="4" t="s">
        <v>25</v>
      </c>
      <c r="C39" s="4" t="s">
        <v>18</v>
      </c>
      <c r="D39" s="4" t="s">
        <v>19</v>
      </c>
      <c r="E39" s="1">
        <v>3</v>
      </c>
      <c r="F39" s="10">
        <v>12000</v>
      </c>
      <c r="G39" s="10">
        <v>36000</v>
      </c>
      <c r="H39" s="4" t="s">
        <v>16</v>
      </c>
      <c r="I39" s="4" t="s">
        <v>20</v>
      </c>
      <c r="J39" s="4" t="str">
        <f>TEXT(Tabla1[[#This Row],[Fecha]],"mmmm")</f>
        <v>mayo</v>
      </c>
    </row>
    <row r="40" spans="1:10" ht="13" customHeight="1" x14ac:dyDescent="0.35">
      <c r="A40" s="3">
        <v>46144</v>
      </c>
      <c r="B40" s="4" t="s">
        <v>25</v>
      </c>
      <c r="C40" s="4" t="s">
        <v>21</v>
      </c>
      <c r="D40" s="4" t="s">
        <v>11</v>
      </c>
      <c r="E40" s="1">
        <v>8</v>
      </c>
      <c r="F40" s="10">
        <v>1800</v>
      </c>
      <c r="G40" s="10">
        <v>14400</v>
      </c>
      <c r="H40" s="4" t="s">
        <v>12</v>
      </c>
      <c r="I40" s="4" t="s">
        <v>13</v>
      </c>
      <c r="J40" s="4" t="str">
        <f>TEXT(Tabla1[[#This Row],[Fecha]],"mmmm")</f>
        <v>mayo</v>
      </c>
    </row>
    <row r="41" spans="1:10" ht="13" customHeight="1" x14ac:dyDescent="0.35">
      <c r="A41" s="3">
        <v>46145</v>
      </c>
      <c r="B41" s="4" t="s">
        <v>27</v>
      </c>
      <c r="C41" s="4" t="s">
        <v>10</v>
      </c>
      <c r="D41" s="4" t="s">
        <v>11</v>
      </c>
      <c r="E41" s="1">
        <v>15</v>
      </c>
      <c r="F41" s="10">
        <v>2000</v>
      </c>
      <c r="G41" s="10">
        <v>30000</v>
      </c>
      <c r="H41" s="4" t="s">
        <v>12</v>
      </c>
      <c r="I41" s="4" t="s">
        <v>13</v>
      </c>
      <c r="J41" s="4" t="str">
        <f>TEXT(Tabla1[[#This Row],[Fecha]],"mmmm")</f>
        <v>mayo</v>
      </c>
    </row>
    <row r="42" spans="1:10" ht="13" customHeight="1" x14ac:dyDescent="0.35">
      <c r="A42" s="3">
        <v>46146</v>
      </c>
      <c r="B42" s="4" t="s">
        <v>28</v>
      </c>
      <c r="C42" s="4" t="s">
        <v>14</v>
      </c>
      <c r="D42" s="4" t="s">
        <v>15</v>
      </c>
      <c r="E42" s="1">
        <v>9</v>
      </c>
      <c r="F42" s="10">
        <v>1500</v>
      </c>
      <c r="G42" s="10">
        <v>13500</v>
      </c>
      <c r="H42" s="4" t="s">
        <v>12</v>
      </c>
      <c r="I42" s="4" t="s">
        <v>13</v>
      </c>
      <c r="J42" s="4" t="str">
        <f>TEXT(Tabla1[[#This Row],[Fecha]],"mmmm")</f>
        <v>mayo</v>
      </c>
    </row>
    <row r="43" spans="1:10" ht="13" customHeight="1" x14ac:dyDescent="0.35">
      <c r="A43" s="3">
        <v>46147</v>
      </c>
      <c r="B43" s="4" t="s">
        <v>29</v>
      </c>
      <c r="C43" s="4" t="s">
        <v>23</v>
      </c>
      <c r="D43" s="4" t="s">
        <v>24</v>
      </c>
      <c r="E43" s="1">
        <v>2</v>
      </c>
      <c r="F43" s="10">
        <v>9500</v>
      </c>
      <c r="G43" s="10">
        <v>19000</v>
      </c>
      <c r="H43" s="4" t="s">
        <v>16</v>
      </c>
      <c r="I43" s="4" t="s">
        <v>20</v>
      </c>
      <c r="J43" s="4" t="str">
        <f>TEXT(Tabla1[[#This Row],[Fecha]],"mmmm")</f>
        <v>mayo</v>
      </c>
    </row>
    <row r="44" spans="1:10" ht="13" customHeight="1" x14ac:dyDescent="0.35">
      <c r="A44" s="3">
        <v>46148</v>
      </c>
      <c r="B44" s="4" t="s">
        <v>9</v>
      </c>
      <c r="C44" s="4" t="s">
        <v>10</v>
      </c>
      <c r="D44" s="4" t="s">
        <v>11</v>
      </c>
      <c r="E44" s="1">
        <v>11</v>
      </c>
      <c r="F44" s="10">
        <v>2000</v>
      </c>
      <c r="G44" s="10">
        <v>22000</v>
      </c>
      <c r="H44" s="4" t="s">
        <v>12</v>
      </c>
      <c r="I44" s="4" t="s">
        <v>13</v>
      </c>
      <c r="J44" s="4" t="str">
        <f>TEXT(Tabla1[[#This Row],[Fecha]],"mmmm")</f>
        <v>mayo</v>
      </c>
    </row>
    <row r="45" spans="1:10" ht="13" customHeight="1" x14ac:dyDescent="0.35">
      <c r="A45" s="3">
        <v>46149</v>
      </c>
      <c r="B45" s="4" t="s">
        <v>17</v>
      </c>
      <c r="C45" s="4" t="s">
        <v>21</v>
      </c>
      <c r="D45" s="4" t="s">
        <v>11</v>
      </c>
      <c r="E45" s="1">
        <v>6</v>
      </c>
      <c r="F45" s="10">
        <v>1800</v>
      </c>
      <c r="G45" s="10">
        <v>10800</v>
      </c>
      <c r="H45" s="4" t="s">
        <v>16</v>
      </c>
      <c r="I45" s="4" t="s">
        <v>13</v>
      </c>
      <c r="J45" s="4" t="str">
        <f>TEXT(Tabla1[[#This Row],[Fecha]],"mmmm")</f>
        <v>mayo</v>
      </c>
    </row>
    <row r="46" spans="1:10" ht="13" customHeight="1" x14ac:dyDescent="0.35">
      <c r="A46" s="3">
        <v>46150</v>
      </c>
      <c r="B46" s="4" t="s">
        <v>22</v>
      </c>
      <c r="C46" s="4" t="s">
        <v>26</v>
      </c>
      <c r="D46" s="4" t="s">
        <v>19</v>
      </c>
      <c r="E46" s="1">
        <v>2</v>
      </c>
      <c r="F46" s="10">
        <v>11000</v>
      </c>
      <c r="G46" s="10">
        <v>22000</v>
      </c>
      <c r="H46" s="4" t="s">
        <v>16</v>
      </c>
      <c r="I46" s="4" t="s">
        <v>20</v>
      </c>
      <c r="J46" s="4" t="str">
        <f>TEXT(Tabla1[[#This Row],[Fecha]],"mmmm")</f>
        <v>mayo</v>
      </c>
    </row>
    <row r="47" spans="1:10" ht="13" customHeight="1" x14ac:dyDescent="0.35">
      <c r="A47" s="3">
        <v>46151</v>
      </c>
      <c r="B47" s="4" t="s">
        <v>25</v>
      </c>
      <c r="C47" s="4" t="s">
        <v>14</v>
      </c>
      <c r="D47" s="4" t="s">
        <v>15</v>
      </c>
      <c r="E47" s="1">
        <v>18</v>
      </c>
      <c r="F47" s="10">
        <v>1500</v>
      </c>
      <c r="G47" s="10">
        <v>27000</v>
      </c>
      <c r="H47" s="4" t="s">
        <v>12</v>
      </c>
      <c r="I47" s="4" t="s">
        <v>13</v>
      </c>
      <c r="J47" s="4" t="str">
        <f>TEXT(Tabla1[[#This Row],[Fecha]],"mmmm")</f>
        <v>mayo</v>
      </c>
    </row>
    <row r="48" spans="1:10" ht="13" customHeight="1" x14ac:dyDescent="0.35">
      <c r="A48" s="3">
        <v>46152</v>
      </c>
      <c r="B48" s="4" t="s">
        <v>27</v>
      </c>
      <c r="C48" s="4" t="s">
        <v>10</v>
      </c>
      <c r="D48" s="4" t="s">
        <v>11</v>
      </c>
      <c r="E48" s="1">
        <v>16</v>
      </c>
      <c r="F48" s="10">
        <v>2000</v>
      </c>
      <c r="G48" s="10">
        <v>32000</v>
      </c>
      <c r="H48" s="4" t="s">
        <v>12</v>
      </c>
      <c r="I48" s="4" t="s">
        <v>13</v>
      </c>
      <c r="J48" s="4" t="str">
        <f>TEXT(Tabla1[[#This Row],[Fecha]],"mmmm")</f>
        <v>mayo</v>
      </c>
    </row>
    <row r="49" spans="1:10" ht="13" customHeight="1" x14ac:dyDescent="0.35">
      <c r="A49" s="3">
        <v>46153</v>
      </c>
      <c r="B49" s="4" t="s">
        <v>28</v>
      </c>
      <c r="C49" s="4" t="s">
        <v>21</v>
      </c>
      <c r="D49" s="4" t="s">
        <v>11</v>
      </c>
      <c r="E49" s="1">
        <v>5</v>
      </c>
      <c r="F49" s="10">
        <v>1800</v>
      </c>
      <c r="G49" s="10">
        <v>9000</v>
      </c>
      <c r="H49" s="4" t="s">
        <v>16</v>
      </c>
      <c r="I49" s="4" t="s">
        <v>13</v>
      </c>
      <c r="J49" s="4" t="str">
        <f>TEXT(Tabla1[[#This Row],[Fecha]],"mmmm")</f>
        <v>mayo</v>
      </c>
    </row>
    <row r="50" spans="1:10" ht="13" customHeight="1" x14ac:dyDescent="0.35">
      <c r="A50" s="3">
        <v>46154</v>
      </c>
      <c r="B50" s="4" t="s">
        <v>29</v>
      </c>
      <c r="C50" s="4" t="s">
        <v>23</v>
      </c>
      <c r="D50" s="4" t="s">
        <v>24</v>
      </c>
      <c r="E50" s="1">
        <v>2</v>
      </c>
      <c r="F50" s="10">
        <v>9500</v>
      </c>
      <c r="G50" s="10">
        <v>19000</v>
      </c>
      <c r="H50" s="4" t="s">
        <v>16</v>
      </c>
      <c r="I50" s="4" t="s">
        <v>20</v>
      </c>
      <c r="J50" s="4" t="str">
        <f>TEXT(Tabla1[[#This Row],[Fecha]],"mmmm")</f>
        <v>mayo</v>
      </c>
    </row>
    <row r="51" spans="1:10" ht="13" customHeight="1" x14ac:dyDescent="0.35">
      <c r="A51" s="3">
        <v>46155</v>
      </c>
      <c r="B51" s="4" t="s">
        <v>9</v>
      </c>
      <c r="C51" s="4" t="s">
        <v>14</v>
      </c>
      <c r="D51" s="4" t="s">
        <v>15</v>
      </c>
      <c r="E51" s="1">
        <v>13</v>
      </c>
      <c r="F51" s="10">
        <v>1500</v>
      </c>
      <c r="G51" s="10">
        <v>19500</v>
      </c>
      <c r="H51" s="4" t="s">
        <v>12</v>
      </c>
      <c r="I51" s="4" t="s">
        <v>13</v>
      </c>
      <c r="J51" s="4" t="str">
        <f>TEXT(Tabla1[[#This Row],[Fecha]],"mmmm")</f>
        <v>mayo</v>
      </c>
    </row>
    <row r="52" spans="1:10" ht="13" customHeight="1" x14ac:dyDescent="0.35">
      <c r="A52" s="3">
        <v>46156</v>
      </c>
      <c r="B52" s="4" t="s">
        <v>17</v>
      </c>
      <c r="C52" s="4" t="s">
        <v>10</v>
      </c>
      <c r="D52" s="4" t="s">
        <v>11</v>
      </c>
      <c r="E52" s="1">
        <v>12</v>
      </c>
      <c r="F52" s="10">
        <v>2000</v>
      </c>
      <c r="G52" s="10">
        <v>24000</v>
      </c>
      <c r="H52" s="4" t="s">
        <v>12</v>
      </c>
      <c r="I52" s="4" t="s">
        <v>13</v>
      </c>
      <c r="J52" s="4" t="str">
        <f>TEXT(Tabla1[[#This Row],[Fecha]],"mmmm")</f>
        <v>mayo</v>
      </c>
    </row>
    <row r="53" spans="1:10" ht="13" customHeight="1" x14ac:dyDescent="0.35">
      <c r="A53" s="3">
        <v>46157</v>
      </c>
      <c r="B53" s="4" t="s">
        <v>22</v>
      </c>
      <c r="C53" s="4" t="s">
        <v>18</v>
      </c>
      <c r="D53" s="4" t="s">
        <v>19</v>
      </c>
      <c r="E53" s="1">
        <v>2</v>
      </c>
      <c r="F53" s="10">
        <v>12000</v>
      </c>
      <c r="G53" s="10">
        <v>24000</v>
      </c>
      <c r="H53" s="4" t="s">
        <v>16</v>
      </c>
      <c r="I53" s="4" t="s">
        <v>20</v>
      </c>
      <c r="J53" s="4" t="str">
        <f>TEXT(Tabla1[[#This Row],[Fecha]],"mmmm")</f>
        <v>mayo</v>
      </c>
    </row>
    <row r="54" spans="1:10" ht="13" customHeight="1" x14ac:dyDescent="0.35">
      <c r="A54" s="3">
        <v>46158</v>
      </c>
      <c r="B54" s="4" t="s">
        <v>25</v>
      </c>
      <c r="C54" s="4" t="s">
        <v>14</v>
      </c>
      <c r="D54" s="4" t="s">
        <v>15</v>
      </c>
      <c r="E54" s="1">
        <v>17</v>
      </c>
      <c r="F54" s="10">
        <v>1500</v>
      </c>
      <c r="G54" s="10">
        <v>25500</v>
      </c>
      <c r="H54" s="4" t="s">
        <v>12</v>
      </c>
      <c r="I54" s="4" t="s">
        <v>13</v>
      </c>
      <c r="J54" s="4" t="str">
        <f>TEXT(Tabla1[[#This Row],[Fecha]],"mmmm")</f>
        <v>mayo</v>
      </c>
    </row>
    <row r="55" spans="1:10" ht="13" customHeight="1" x14ac:dyDescent="0.35">
      <c r="A55" s="3">
        <v>46159</v>
      </c>
      <c r="B55" s="4" t="s">
        <v>27</v>
      </c>
      <c r="C55" s="4" t="s">
        <v>10</v>
      </c>
      <c r="D55" s="4" t="s">
        <v>11</v>
      </c>
      <c r="E55" s="1">
        <v>14</v>
      </c>
      <c r="F55" s="10">
        <v>2000</v>
      </c>
      <c r="G55" s="10">
        <v>28000</v>
      </c>
      <c r="H55" s="4" t="s">
        <v>12</v>
      </c>
      <c r="I55" s="4" t="s">
        <v>13</v>
      </c>
      <c r="J55" s="4" t="str">
        <f>TEXT(Tabla1[[#This Row],[Fecha]],"mmmm")</f>
        <v>mayo</v>
      </c>
    </row>
    <row r="56" spans="1:10" ht="13" customHeight="1" x14ac:dyDescent="0.35">
      <c r="A56" s="3">
        <v>46160</v>
      </c>
      <c r="B56" s="4" t="s">
        <v>28</v>
      </c>
      <c r="C56" s="4" t="s">
        <v>21</v>
      </c>
      <c r="D56" s="4" t="s">
        <v>11</v>
      </c>
      <c r="E56" s="1">
        <v>6</v>
      </c>
      <c r="F56" s="10">
        <v>1800</v>
      </c>
      <c r="G56" s="10">
        <v>10800</v>
      </c>
      <c r="H56" s="4" t="s">
        <v>16</v>
      </c>
      <c r="I56" s="4" t="s">
        <v>13</v>
      </c>
      <c r="J56" s="4" t="str">
        <f>TEXT(Tabla1[[#This Row],[Fecha]],"mmmm")</f>
        <v>mayo</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14"/>
  <sheetViews>
    <sheetView workbookViewId="0">
      <selection activeCell="H20" sqref="H20"/>
    </sheetView>
  </sheetViews>
  <sheetFormatPr baseColWidth="10" defaultRowHeight="14.5" x14ac:dyDescent="0.35"/>
  <sheetData>
    <row r="2" spans="1:1" x14ac:dyDescent="0.35">
      <c r="A2" s="5" t="s">
        <v>31</v>
      </c>
    </row>
    <row r="3" spans="1:1" x14ac:dyDescent="0.35">
      <c r="A3" t="s">
        <v>32</v>
      </c>
    </row>
    <row r="5" spans="1:1" x14ac:dyDescent="0.35">
      <c r="A5" s="5" t="s">
        <v>33</v>
      </c>
    </row>
    <row r="6" spans="1:1" x14ac:dyDescent="0.35">
      <c r="A6" t="s">
        <v>34</v>
      </c>
    </row>
    <row r="8" spans="1:1" x14ac:dyDescent="0.35">
      <c r="A8" s="5" t="s">
        <v>35</v>
      </c>
    </row>
    <row r="9" spans="1:1" x14ac:dyDescent="0.35">
      <c r="A9" s="6"/>
    </row>
    <row r="10" spans="1:1" x14ac:dyDescent="0.35">
      <c r="A10" s="6" t="s">
        <v>36</v>
      </c>
    </row>
    <row r="11" spans="1:1" x14ac:dyDescent="0.35">
      <c r="A11" s="6" t="s">
        <v>37</v>
      </c>
    </row>
    <row r="12" spans="1:1" x14ac:dyDescent="0.35">
      <c r="A12" s="6" t="s">
        <v>38</v>
      </c>
    </row>
    <row r="13" spans="1:1" x14ac:dyDescent="0.35">
      <c r="A13" s="6" t="s">
        <v>39</v>
      </c>
    </row>
    <row r="14" spans="1:1" x14ac:dyDescent="0.35">
      <c r="A14" s="6" t="s">
        <v>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tabSelected="1" workbookViewId="0">
      <selection activeCell="F21" sqref="F21"/>
    </sheetView>
  </sheetViews>
  <sheetFormatPr baseColWidth="10" defaultRowHeight="14.5" x14ac:dyDescent="0.35"/>
  <sheetData>
    <row r="1" spans="1:8" x14ac:dyDescent="0.35">
      <c r="A1" s="5" t="s">
        <v>63</v>
      </c>
    </row>
    <row r="2" spans="1:8" x14ac:dyDescent="0.35">
      <c r="A2" s="5"/>
    </row>
    <row r="3" spans="1:8" ht="14.5" customHeight="1" x14ac:dyDescent="0.35">
      <c r="A3" s="17" t="s">
        <v>62</v>
      </c>
      <c r="B3" s="17"/>
      <c r="C3" s="17"/>
      <c r="D3" s="17"/>
      <c r="E3" s="17"/>
      <c r="F3" s="17"/>
      <c r="G3" s="17"/>
      <c r="H3" s="17"/>
    </row>
    <row r="4" spans="1:8" x14ac:dyDescent="0.35">
      <c r="A4" s="17"/>
      <c r="B4" s="17"/>
      <c r="C4" s="17"/>
      <c r="D4" s="17"/>
      <c r="E4" s="17"/>
      <c r="F4" s="17"/>
      <c r="G4" s="17"/>
      <c r="H4" s="17"/>
    </row>
    <row r="5" spans="1:8" x14ac:dyDescent="0.35">
      <c r="A5" s="17"/>
      <c r="B5" s="17"/>
      <c r="C5" s="17"/>
      <c r="D5" s="17"/>
      <c r="E5" s="17"/>
      <c r="F5" s="17"/>
      <c r="G5" s="17"/>
      <c r="H5" s="17"/>
    </row>
    <row r="6" spans="1:8" x14ac:dyDescent="0.35">
      <c r="A6" s="17"/>
      <c r="B6" s="17"/>
      <c r="C6" s="17"/>
      <c r="D6" s="17"/>
      <c r="E6" s="17"/>
      <c r="F6" s="17"/>
      <c r="G6" s="17"/>
      <c r="H6" s="17"/>
    </row>
    <row r="7" spans="1:8" x14ac:dyDescent="0.35">
      <c r="A7" s="17"/>
      <c r="B7" s="17"/>
      <c r="C7" s="17"/>
      <c r="D7" s="17"/>
      <c r="E7" s="17"/>
      <c r="F7" s="17"/>
      <c r="G7" s="17"/>
      <c r="H7" s="17"/>
    </row>
    <row r="8" spans="1:8" x14ac:dyDescent="0.35">
      <c r="A8" s="17"/>
      <c r="B8" s="17"/>
      <c r="C8" s="17"/>
      <c r="D8" s="17"/>
      <c r="E8" s="17"/>
      <c r="F8" s="17"/>
      <c r="G8" s="17"/>
      <c r="H8" s="17"/>
    </row>
    <row r="9" spans="1:8" x14ac:dyDescent="0.35">
      <c r="A9" s="17"/>
      <c r="B9" s="17"/>
      <c r="C9" s="17"/>
      <c r="D9" s="17"/>
      <c r="E9" s="17"/>
      <c r="F9" s="17"/>
      <c r="G9" s="17"/>
      <c r="H9" s="17"/>
    </row>
    <row r="10" spans="1:8" x14ac:dyDescent="0.35">
      <c r="A10" s="17"/>
      <c r="B10" s="17"/>
      <c r="C10" s="17"/>
      <c r="D10" s="17"/>
      <c r="E10" s="17"/>
      <c r="F10" s="17"/>
      <c r="G10" s="17"/>
      <c r="H10" s="17"/>
    </row>
    <row r="11" spans="1:8" x14ac:dyDescent="0.35">
      <c r="A11" s="17"/>
      <c r="B11" s="17"/>
      <c r="C11" s="17"/>
      <c r="D11" s="17"/>
      <c r="E11" s="17"/>
      <c r="F11" s="17"/>
      <c r="G11" s="17"/>
      <c r="H11" s="17"/>
    </row>
    <row r="12" spans="1:8" x14ac:dyDescent="0.35">
      <c r="A12" s="17"/>
      <c r="B12" s="17"/>
      <c r="C12" s="17"/>
      <c r="D12" s="17"/>
      <c r="E12" s="17"/>
      <c r="F12" s="17"/>
      <c r="G12" s="17"/>
      <c r="H12" s="17"/>
    </row>
    <row r="13" spans="1:8" x14ac:dyDescent="0.35">
      <c r="A13" s="17"/>
      <c r="B13" s="17"/>
      <c r="C13" s="17"/>
      <c r="D13" s="17"/>
      <c r="E13" s="17"/>
      <c r="F13" s="17"/>
      <c r="G13" s="17"/>
      <c r="H13" s="17"/>
    </row>
    <row r="15" spans="1:8" x14ac:dyDescent="0.35">
      <c r="A15" s="5" t="s">
        <v>64</v>
      </c>
    </row>
    <row r="16" spans="1:8" x14ac:dyDescent="0.35">
      <c r="A16" s="18" t="s">
        <v>65</v>
      </c>
      <c r="B16" s="19"/>
      <c r="C16" s="19"/>
    </row>
    <row r="17" spans="1:3" x14ac:dyDescent="0.35">
      <c r="A17" s="19"/>
      <c r="B17" s="19"/>
      <c r="C17" s="19"/>
    </row>
    <row r="18" spans="1:3" x14ac:dyDescent="0.35">
      <c r="A18" s="19"/>
      <c r="B18" s="19"/>
      <c r="C18" s="19"/>
    </row>
    <row r="19" spans="1:3" x14ac:dyDescent="0.35">
      <c r="A19" s="19"/>
      <c r="B19" s="19"/>
      <c r="C19" s="19"/>
    </row>
    <row r="20" spans="1:3" x14ac:dyDescent="0.35">
      <c r="A20" s="19"/>
      <c r="B20" s="19"/>
      <c r="C20" s="19"/>
    </row>
    <row r="21" spans="1:3" x14ac:dyDescent="0.35">
      <c r="A21" s="19"/>
      <c r="B21" s="19"/>
      <c r="C21" s="19"/>
    </row>
    <row r="22" spans="1:3" x14ac:dyDescent="0.35">
      <c r="A22" s="19"/>
      <c r="B22" s="19"/>
      <c r="C22" s="19"/>
    </row>
    <row r="23" spans="1:3" x14ac:dyDescent="0.35">
      <c r="A23" s="19"/>
      <c r="B23" s="19"/>
      <c r="C23" s="19"/>
    </row>
    <row r="24" spans="1:3" x14ac:dyDescent="0.35">
      <c r="A24" s="19"/>
      <c r="B24" s="19"/>
      <c r="C24" s="19"/>
    </row>
    <row r="25" spans="1:3" x14ac:dyDescent="0.35">
      <c r="A25" s="19"/>
      <c r="B25" s="19"/>
      <c r="C25" s="19"/>
    </row>
    <row r="26" spans="1:3" x14ac:dyDescent="0.35">
      <c r="A26" s="19"/>
      <c r="B26" s="19"/>
      <c r="C26" s="19"/>
    </row>
    <row r="27" spans="1:3" x14ac:dyDescent="0.35">
      <c r="A27" s="19"/>
      <c r="B27" s="19"/>
      <c r="C27" s="19"/>
    </row>
  </sheetData>
  <mergeCells count="2">
    <mergeCell ref="A3:H13"/>
    <mergeCell ref="A16:C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Mayor Ingreso</vt:lpstr>
      <vt:lpstr>Ventas por mes</vt:lpstr>
      <vt:lpstr>Ventas por categoría</vt:lpstr>
      <vt:lpstr>Ventas por canal</vt:lpstr>
      <vt:lpstr>Forma de pago</vt:lpstr>
      <vt:lpstr>Cantidad vendida por producto</vt:lpstr>
      <vt:lpstr>DATASET</vt:lpstr>
      <vt:lpstr>RUBICAS</vt:lpstr>
      <vt:lpstr>Conclusiones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AGUSTINA</dc:creator>
  <cp:lastModifiedBy>AGUSTINA</cp:lastModifiedBy>
  <dcterms:created xsi:type="dcterms:W3CDTF">2026-04-13T13:41:04Z</dcterms:created>
  <dcterms:modified xsi:type="dcterms:W3CDTF">2026-04-13T14:52:29Z</dcterms:modified>
</cp:coreProperties>
</file>